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esktop\ElswordInfo\DarkElfMarket\"/>
    </mc:Choice>
  </mc:AlternateContent>
  <xr:revisionPtr revIDLastSave="0" documentId="13_ncr:1_{AAB0B148-5E0D-4A39-BBD5-B94A20BCEB37}" xr6:coauthVersionLast="47" xr6:coauthVersionMax="47" xr10:uidLastSave="{00000000-0000-0000-0000-000000000000}"/>
  <bookViews>
    <workbookView xWindow="-120" yWindow="-120" windowWidth="29040" windowHeight="15840" activeTab="8" xr2:uid="{00000000-000D-0000-FFFF-FFFF00000000}"/>
  </bookViews>
  <sheets>
    <sheet name="工作表2" sheetId="1" r:id="rId1"/>
    <sheet name="List" sheetId="2" r:id="rId2"/>
    <sheet name="歷史成交總集" sheetId="3" r:id="rId3"/>
    <sheet name="0926紀錄" sheetId="4" r:id="rId4"/>
    <sheet name="0930紀錄" sheetId="5" r:id="rId5"/>
    <sheet name="1003紀錄" sheetId="6" r:id="rId6"/>
    <sheet name="1007紀錄" sheetId="7" r:id="rId7"/>
    <sheet name="1010紀錄" sheetId="9" r:id="rId8"/>
    <sheet name="1014紀錄" sheetId="10" r:id="rId9"/>
    <sheet name="1017紀錄" sheetId="1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1" i="11" l="1"/>
  <c r="B41" i="11"/>
  <c r="C40" i="11"/>
  <c r="B40" i="11"/>
  <c r="C39" i="11"/>
  <c r="B39" i="11"/>
  <c r="C38" i="11"/>
  <c r="B38" i="11"/>
  <c r="C37" i="11"/>
  <c r="B37" i="11"/>
  <c r="C36" i="11"/>
  <c r="B36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9" i="11"/>
  <c r="B9" i="11"/>
  <c r="C8" i="11"/>
  <c r="B8" i="11"/>
  <c r="C7" i="11"/>
  <c r="B7" i="11"/>
  <c r="C6" i="11"/>
  <c r="B6" i="11"/>
  <c r="C5" i="11"/>
  <c r="B5" i="11"/>
  <c r="C4" i="11"/>
  <c r="B4" i="11"/>
  <c r="C41" i="10"/>
  <c r="B41" i="10"/>
  <c r="C40" i="10"/>
  <c r="B40" i="10"/>
  <c r="C39" i="10"/>
  <c r="B39" i="10"/>
  <c r="C38" i="10"/>
  <c r="B38" i="10"/>
  <c r="C37" i="10"/>
  <c r="B37" i="10"/>
  <c r="C36" i="10"/>
  <c r="B36" i="10"/>
  <c r="C34" i="10"/>
  <c r="B34" i="10"/>
  <c r="C33" i="10"/>
  <c r="B33" i="10"/>
  <c r="C32" i="10"/>
  <c r="B32" i="10"/>
  <c r="C31" i="10"/>
  <c r="B31" i="10"/>
  <c r="C30" i="10"/>
  <c r="B30" i="10"/>
  <c r="C29" i="10"/>
  <c r="B29" i="10"/>
  <c r="C28" i="10"/>
  <c r="B28" i="10"/>
  <c r="C27" i="10"/>
  <c r="B27" i="10"/>
  <c r="C25" i="10"/>
  <c r="B25" i="10"/>
  <c r="C24" i="10"/>
  <c r="B24" i="10"/>
  <c r="C23" i="10"/>
  <c r="B23" i="10"/>
  <c r="C22" i="10"/>
  <c r="B22" i="10"/>
  <c r="C21" i="10"/>
  <c r="B21" i="10"/>
  <c r="C20" i="10"/>
  <c r="B20" i="10"/>
  <c r="C19" i="10"/>
  <c r="B19" i="10"/>
  <c r="C17" i="10"/>
  <c r="B17" i="10"/>
  <c r="C16" i="10"/>
  <c r="B16" i="10"/>
  <c r="C15" i="10"/>
  <c r="B15" i="10"/>
  <c r="C14" i="10"/>
  <c r="B14" i="10"/>
  <c r="C13" i="10"/>
  <c r="B13" i="10"/>
  <c r="C12" i="10"/>
  <c r="B12" i="10"/>
  <c r="C11" i="10"/>
  <c r="B11" i="10"/>
  <c r="C9" i="10"/>
  <c r="B9" i="10"/>
  <c r="C8" i="10"/>
  <c r="B8" i="10"/>
  <c r="C7" i="10"/>
  <c r="B7" i="10"/>
  <c r="C6" i="10"/>
  <c r="B6" i="10"/>
  <c r="C5" i="10"/>
  <c r="B5" i="10"/>
  <c r="C4" i="10"/>
  <c r="B4" i="10"/>
  <c r="C41" i="9"/>
  <c r="B41" i="9"/>
  <c r="C40" i="9"/>
  <c r="B40" i="9"/>
  <c r="C39" i="9"/>
  <c r="B39" i="9"/>
  <c r="C38" i="9"/>
  <c r="B38" i="9"/>
  <c r="C37" i="9"/>
  <c r="B37" i="9"/>
  <c r="C36" i="9"/>
  <c r="B36" i="9"/>
  <c r="C34" i="9"/>
  <c r="B34" i="9"/>
  <c r="C33" i="9"/>
  <c r="B33" i="9"/>
  <c r="C32" i="9"/>
  <c r="B32" i="9"/>
  <c r="C31" i="9"/>
  <c r="B31" i="9"/>
  <c r="C30" i="9"/>
  <c r="B30" i="9"/>
  <c r="C29" i="9"/>
  <c r="B29" i="9"/>
  <c r="C28" i="9"/>
  <c r="B28" i="9"/>
  <c r="C27" i="9"/>
  <c r="B27" i="9"/>
  <c r="C25" i="9"/>
  <c r="B25" i="9"/>
  <c r="C24" i="9"/>
  <c r="B24" i="9"/>
  <c r="C23" i="9"/>
  <c r="B23" i="9"/>
  <c r="C22" i="9"/>
  <c r="B22" i="9"/>
  <c r="C21" i="9"/>
  <c r="B21" i="9"/>
  <c r="C20" i="9"/>
  <c r="B20" i="9"/>
  <c r="C19" i="9"/>
  <c r="B19" i="9"/>
  <c r="C17" i="9"/>
  <c r="B17" i="9"/>
  <c r="C16" i="9"/>
  <c r="B16" i="9"/>
  <c r="C15" i="9"/>
  <c r="B15" i="9"/>
  <c r="C14" i="9"/>
  <c r="B14" i="9"/>
  <c r="C13" i="9"/>
  <c r="B13" i="9"/>
  <c r="C12" i="9"/>
  <c r="B12" i="9"/>
  <c r="C11" i="9"/>
  <c r="B11" i="9"/>
  <c r="C9" i="9"/>
  <c r="B9" i="9"/>
  <c r="C8" i="9"/>
  <c r="B8" i="9"/>
  <c r="C7" i="9"/>
  <c r="B7" i="9"/>
  <c r="C6" i="9"/>
  <c r="B6" i="9"/>
  <c r="C5" i="9"/>
  <c r="B5" i="9"/>
  <c r="C4" i="9"/>
  <c r="B4" i="9"/>
  <c r="C41" i="7"/>
  <c r="B41" i="7"/>
  <c r="C40" i="7"/>
  <c r="B40" i="7"/>
  <c r="C39" i="7"/>
  <c r="B39" i="7"/>
  <c r="C38" i="7"/>
  <c r="B38" i="7"/>
  <c r="C37" i="7"/>
  <c r="B37" i="7"/>
  <c r="C36" i="7"/>
  <c r="B36" i="7"/>
  <c r="C34" i="7"/>
  <c r="B34" i="7"/>
  <c r="C33" i="7"/>
  <c r="B33" i="7"/>
  <c r="C32" i="7"/>
  <c r="B32" i="7"/>
  <c r="C31" i="7"/>
  <c r="B31" i="7"/>
  <c r="C30" i="7"/>
  <c r="B30" i="7"/>
  <c r="C29" i="7"/>
  <c r="B29" i="7"/>
  <c r="C28" i="7"/>
  <c r="B28" i="7"/>
  <c r="C27" i="7"/>
  <c r="B27" i="7"/>
  <c r="C25" i="7"/>
  <c r="B25" i="7"/>
  <c r="C24" i="7"/>
  <c r="B24" i="7"/>
  <c r="C23" i="7"/>
  <c r="B23" i="7"/>
  <c r="C22" i="7"/>
  <c r="B22" i="7"/>
  <c r="C21" i="7"/>
  <c r="B21" i="7"/>
  <c r="C20" i="7"/>
  <c r="B20" i="7"/>
  <c r="C19" i="7"/>
  <c r="B19" i="7"/>
  <c r="C17" i="7"/>
  <c r="B17" i="7"/>
  <c r="C16" i="7"/>
  <c r="B16" i="7"/>
  <c r="C15" i="7"/>
  <c r="B15" i="7"/>
  <c r="C14" i="7"/>
  <c r="B14" i="7"/>
  <c r="C13" i="7"/>
  <c r="B13" i="7"/>
  <c r="C12" i="7"/>
  <c r="B12" i="7"/>
  <c r="C11" i="7"/>
  <c r="B11" i="7"/>
  <c r="C9" i="7"/>
  <c r="B9" i="7"/>
  <c r="C8" i="7"/>
  <c r="B8" i="7"/>
  <c r="C7" i="7"/>
  <c r="B7" i="7"/>
  <c r="C6" i="7"/>
  <c r="B6" i="7"/>
  <c r="C5" i="7"/>
  <c r="B5" i="7"/>
  <c r="C4" i="7"/>
  <c r="B4" i="7"/>
  <c r="C41" i="6"/>
  <c r="B41" i="6"/>
  <c r="C40" i="6"/>
  <c r="B40" i="6"/>
  <c r="C39" i="6"/>
  <c r="B39" i="6"/>
  <c r="C38" i="6"/>
  <c r="B38" i="6"/>
  <c r="C37" i="6"/>
  <c r="B37" i="6"/>
  <c r="C36" i="6"/>
  <c r="B36" i="6"/>
  <c r="C34" i="6"/>
  <c r="B34" i="6"/>
  <c r="C33" i="6"/>
  <c r="B33" i="6"/>
  <c r="C32" i="6"/>
  <c r="B32" i="6"/>
  <c r="C31" i="6"/>
  <c r="B31" i="6"/>
  <c r="C30" i="6"/>
  <c r="B30" i="6"/>
  <c r="C29" i="6"/>
  <c r="B29" i="6"/>
  <c r="C28" i="6"/>
  <c r="B28" i="6"/>
  <c r="C27" i="6"/>
  <c r="B27" i="6"/>
  <c r="C25" i="6"/>
  <c r="B25" i="6"/>
  <c r="C24" i="6"/>
  <c r="B24" i="6"/>
  <c r="C23" i="6"/>
  <c r="B23" i="6"/>
  <c r="C22" i="6"/>
  <c r="B22" i="6"/>
  <c r="C21" i="6"/>
  <c r="B21" i="6"/>
  <c r="C20" i="6"/>
  <c r="B20" i="6"/>
  <c r="C19" i="6"/>
  <c r="B19" i="6"/>
  <c r="C17" i="6"/>
  <c r="B17" i="6"/>
  <c r="C16" i="6"/>
  <c r="B16" i="6"/>
  <c r="C15" i="6"/>
  <c r="B15" i="6"/>
  <c r="C14" i="6"/>
  <c r="B14" i="6"/>
  <c r="C13" i="6"/>
  <c r="B13" i="6"/>
  <c r="C12" i="6"/>
  <c r="B12" i="6"/>
  <c r="C11" i="6"/>
  <c r="B11" i="6"/>
  <c r="C9" i="6"/>
  <c r="B9" i="6"/>
  <c r="C8" i="6"/>
  <c r="B8" i="6"/>
  <c r="C7" i="6"/>
  <c r="B7" i="6"/>
  <c r="C6" i="6"/>
  <c r="B6" i="6"/>
  <c r="C5" i="6"/>
  <c r="B5" i="6"/>
  <c r="C4" i="6"/>
  <c r="B4" i="6"/>
  <c r="C41" i="5"/>
  <c r="B41" i="5"/>
  <c r="C40" i="5"/>
  <c r="B40" i="5"/>
  <c r="C39" i="5"/>
  <c r="B39" i="5"/>
  <c r="C38" i="5"/>
  <c r="B38" i="5"/>
  <c r="C37" i="5"/>
  <c r="B37" i="5"/>
  <c r="C36" i="5"/>
  <c r="B36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9" i="5"/>
  <c r="B9" i="5"/>
  <c r="C8" i="5"/>
  <c r="B8" i="5"/>
  <c r="C7" i="5"/>
  <c r="B7" i="5"/>
  <c r="C6" i="5"/>
  <c r="B6" i="5"/>
  <c r="C5" i="5"/>
  <c r="B5" i="5"/>
  <c r="C4" i="5"/>
  <c r="B4" i="5"/>
  <c r="C41" i="4"/>
  <c r="B41" i="4"/>
  <c r="C40" i="4"/>
  <c r="B40" i="4"/>
  <c r="C39" i="4"/>
  <c r="B39" i="4"/>
  <c r="C38" i="4"/>
  <c r="B38" i="4"/>
  <c r="C37" i="4"/>
  <c r="B37" i="4"/>
  <c r="C36" i="4"/>
  <c r="B36" i="4"/>
  <c r="C34" i="4"/>
  <c r="B34" i="4"/>
  <c r="C33" i="4"/>
  <c r="B33" i="4"/>
  <c r="C32" i="4"/>
  <c r="B32" i="4"/>
  <c r="C31" i="4"/>
  <c r="B31" i="4"/>
  <c r="C30" i="4"/>
  <c r="B30" i="4"/>
  <c r="C29" i="4"/>
  <c r="B29" i="4"/>
  <c r="C28" i="4"/>
  <c r="B28" i="4"/>
  <c r="C27" i="4"/>
  <c r="B27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7" i="4"/>
  <c r="B17" i="4"/>
  <c r="C16" i="4"/>
  <c r="B16" i="4"/>
  <c r="C15" i="4"/>
  <c r="B15" i="4"/>
  <c r="C14" i="4"/>
  <c r="B14" i="4"/>
  <c r="C13" i="4"/>
  <c r="B13" i="4"/>
  <c r="C12" i="4"/>
  <c r="B12" i="4"/>
  <c r="C11" i="4"/>
  <c r="B11" i="4"/>
  <c r="C9" i="4"/>
  <c r="B9" i="4"/>
  <c r="C8" i="4"/>
  <c r="B8" i="4"/>
  <c r="C7" i="4"/>
  <c r="B7" i="4"/>
  <c r="C6" i="4"/>
  <c r="B6" i="4"/>
  <c r="C5" i="4"/>
  <c r="B5" i="4"/>
  <c r="C4" i="4"/>
  <c r="B4" i="4"/>
  <c r="C41" i="3"/>
  <c r="B41" i="3"/>
  <c r="C40" i="3"/>
  <c r="B40" i="3"/>
  <c r="C39" i="3"/>
  <c r="B39" i="3"/>
  <c r="C38" i="3"/>
  <c r="B38" i="3"/>
  <c r="C37" i="3"/>
  <c r="B37" i="3"/>
  <c r="C36" i="3"/>
  <c r="B36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9" i="3"/>
  <c r="B9" i="3"/>
  <c r="C8" i="3"/>
  <c r="B8" i="3"/>
  <c r="C7" i="3"/>
  <c r="B7" i="3"/>
  <c r="C6" i="3"/>
  <c r="B6" i="3"/>
  <c r="C5" i="3"/>
  <c r="B5" i="3"/>
  <c r="C4" i="3"/>
  <c r="B4" i="3"/>
  <c r="G41" i="1"/>
  <c r="E41" i="1"/>
  <c r="D41" i="1"/>
  <c r="G40" i="1"/>
  <c r="E40" i="1"/>
  <c r="D40" i="1"/>
  <c r="F39" i="1"/>
  <c r="D39" i="1" s="1"/>
  <c r="E39" i="1"/>
  <c r="D38" i="1"/>
  <c r="G34" i="1"/>
  <c r="D34" i="1" s="1"/>
  <c r="E34" i="1"/>
  <c r="G33" i="1"/>
  <c r="D33" i="1" s="1"/>
  <c r="E33" i="1"/>
  <c r="E32" i="1"/>
  <c r="F32" i="1" s="1"/>
  <c r="D32" i="1" s="1"/>
  <c r="D31" i="1"/>
  <c r="D30" i="1"/>
  <c r="D29" i="1"/>
  <c r="D28" i="1"/>
  <c r="D27" i="1"/>
  <c r="G25" i="1"/>
  <c r="E25" i="1"/>
  <c r="D25" i="1"/>
  <c r="G24" i="1"/>
  <c r="E24" i="1"/>
  <c r="D24" i="1"/>
  <c r="D23" i="1"/>
  <c r="F22" i="1"/>
  <c r="D22" i="1" s="1"/>
  <c r="E22" i="1"/>
  <c r="D21" i="1"/>
  <c r="D20" i="1"/>
  <c r="D19" i="1"/>
  <c r="G17" i="1"/>
  <c r="D17" i="1"/>
  <c r="D16" i="1"/>
  <c r="G15" i="1"/>
  <c r="E15" i="1"/>
  <c r="D15" i="1"/>
  <c r="G14" i="1"/>
  <c r="D14" i="1"/>
  <c r="E13" i="1"/>
  <c r="F13" i="1" s="1"/>
  <c r="D13" i="1" s="1"/>
  <c r="D12" i="1"/>
  <c r="D11" i="1"/>
  <c r="G9" i="1"/>
  <c r="D9" i="1" s="1"/>
  <c r="F9" i="1"/>
  <c r="D8" i="1"/>
  <c r="F7" i="1"/>
  <c r="D7" i="1"/>
  <c r="E6" i="1"/>
  <c r="F6" i="1" s="1"/>
  <c r="D6" i="1" s="1"/>
  <c r="F5" i="1"/>
  <c r="D5" i="1"/>
  <c r="F4" i="1"/>
  <c r="D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0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  <comment ref="A4" authorId="0" shapeId="0" xr:uid="{00000000-0006-0000-0000-000002000000}">
      <text>
        <r>
          <rPr>
            <sz val="11"/>
            <color theme="1"/>
            <rFont val="新細明體"/>
            <family val="2"/>
            <scheme val="minor"/>
          </rPr>
          <t xml:space="preserve">USER:
先當10個黑色碎片
</t>
        </r>
      </text>
    </comment>
    <comment ref="A7" authorId="0" shapeId="0" xr:uid="{00000000-0006-0000-0000-000003000000}">
      <text>
        <r>
          <rPr>
            <sz val="11"/>
            <color theme="1"/>
            <rFont val="新細明體"/>
            <family val="2"/>
            <scheme val="minor"/>
          </rPr>
          <t>USER:
視同死龍後悔卷 1e ED</t>
        </r>
      </text>
    </comment>
    <comment ref="A8" authorId="0" shapeId="0" xr:uid="{00000000-0006-0000-0000-000004000000}">
      <text>
        <r>
          <rPr>
            <sz val="11"/>
            <color theme="1"/>
            <rFont val="新細明體"/>
            <family val="2"/>
            <scheme val="minor"/>
          </rPr>
          <t>USER:
商城1e ED + 5片備份模塊 = 450$
轉換後一片約88</t>
        </r>
      </text>
    </comment>
    <comment ref="A9" authorId="0" shapeId="0" xr:uid="{00000000-0006-0000-0000-000005000000}">
      <text>
        <r>
          <rPr>
            <sz val="11"/>
            <color theme="1"/>
            <rFont val="新細明體"/>
            <family val="2"/>
            <scheme val="minor"/>
          </rPr>
          <t>USER:
1蔣萬安瓶 = 100掉落材料</t>
        </r>
      </text>
    </comment>
    <comment ref="A16" authorId="0" shapeId="0" xr:uid="{00000000-0006-0000-0000-000006000000}">
      <text>
        <r>
          <rPr>
            <sz val="11"/>
            <color theme="1"/>
            <rFont val="新細明體"/>
            <family val="2"/>
            <scheme val="minor"/>
          </rPr>
          <t>USER:
商城1e ED + 5片備份模塊 = 450$
轉換後一片約88</t>
        </r>
      </text>
    </comment>
    <comment ref="A21" authorId="0" shapeId="0" xr:uid="{00000000-0006-0000-0000-000007000000}">
      <text>
        <r>
          <rPr>
            <sz val="11"/>
            <color theme="1"/>
            <rFont val="新細明體"/>
            <family val="2"/>
            <scheme val="minor"/>
          </rPr>
          <t>USER:
先當40個黑色碎片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2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3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4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5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41EE4B67-DA48-417B-A884-05839187B969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F865CC89-8F3A-4DDA-89DF-695E3143993F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63F3312C-244E-4C78-9F00-2FC0BA037A22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202ACD26-8ED9-491C-8699-46C5B281D1DE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sharedStrings.xml><?xml version="1.0" encoding="utf-8"?>
<sst xmlns="http://schemas.openxmlformats.org/spreadsheetml/2006/main" count="465" uniqueCount="60">
  <si>
    <t>Last Update: 20260914</t>
  </si>
  <si>
    <t>最低價參考</t>
  </si>
  <si>
    <t>最高價參考</t>
  </si>
  <si>
    <t>ED匯率:</t>
  </si>
  <si>
    <t>黑色碎片匯率:</t>
  </si>
  <si>
    <t>轉點優惠:</t>
  </si>
  <si>
    <t>美托龍(ED)</t>
  </si>
  <si>
    <t>【黑暗精靈黑市 - 可能出現的拍賣品】</t>
  </si>
  <si>
    <t>ED</t>
  </si>
  <si>
    <t>參考價(ED</t>
  </si>
  <si>
    <t>商城價(NT)</t>
  </si>
  <si>
    <t>商人價(NT)</t>
  </si>
  <si>
    <t>板子價(ED)</t>
  </si>
  <si>
    <t>黑色碎片換算</t>
  </si>
  <si>
    <t>已知成交價</t>
  </si>
  <si>
    <t>已知成交價NT</t>
  </si>
  <si>
    <t>已知成交價ED</t>
  </si>
  <si>
    <t xml:space="preserve">層級一 </t>
  </si>
  <si>
    <t>一般彈匣魔方</t>
  </si>
  <si>
    <t>黑色碎片2個</t>
  </si>
  <si>
    <t>[阿利爾] 防具選項轉換石3個</t>
  </si>
  <si>
    <t>[阿利爾] 防具選項備份卷1個</t>
  </si>
  <si>
    <t>[阿利爾] 核心備份模塊1個</t>
  </si>
  <si>
    <t>每周鍛造材料1000個</t>
  </si>
  <si>
    <t xml:space="preserve">層級二 </t>
  </si>
  <si>
    <t>彈匣箱</t>
  </si>
  <si>
    <t>黑色碎片4個</t>
  </si>
  <si>
    <t>[阿利爾] 防具選項轉換石5個</t>
  </si>
  <si>
    <t>[阿利爾] 防具選項備份卷3個</t>
  </si>
  <si>
    <t>[阿利爾] 核心備份模塊3個</t>
  </si>
  <si>
    <t>核心備份模塊1個</t>
  </si>
  <si>
    <t>每周鍛造材料2000個</t>
  </si>
  <si>
    <t xml:space="preserve">層級三 </t>
  </si>
  <si>
    <t>核心1個</t>
  </si>
  <si>
    <t>[阿利爾] 內布隆原型選擇箱</t>
  </si>
  <si>
    <t>超彈匣魔方</t>
  </si>
  <si>
    <t>[阿利爾] 防具選項轉換石10個</t>
  </si>
  <si>
    <t>支援 &amp; 戰鬥 &amp; 通用彈匣選擇箱</t>
  </si>
  <si>
    <t>[阿利爾] 核心備份模塊10個</t>
  </si>
  <si>
    <t>核心備份模塊5個</t>
  </si>
  <si>
    <t xml:space="preserve">層級四 </t>
  </si>
  <si>
    <t>穩定的核心1個</t>
  </si>
  <si>
    <t>內布隆原型選擇箱</t>
  </si>
  <si>
    <t>超彈匣選擇箱</t>
  </si>
  <si>
    <t>[阿利爾] 1%電路T板選擇箱</t>
  </si>
  <si>
    <t>[阿利爾] 1%電路L板選擇箱</t>
  </si>
  <si>
    <t>[阿利爾] 防具選項轉換石15個</t>
  </si>
  <si>
    <t>[阿利爾] 核心備份模塊15個</t>
  </si>
  <si>
    <t>核心備份模塊7個</t>
  </si>
  <si>
    <t xml:space="preserve">層級五 </t>
  </si>
  <si>
    <t>[阿利爾] 死級詞條升級券1個</t>
  </si>
  <si>
    <t>TBA</t>
  </si>
  <si>
    <t>[阿利爾] 防具詞條升級券1個</t>
  </si>
  <si>
    <t>[阿利爾] 複製電路選擇箱</t>
  </si>
  <si>
    <t>[阿利爾] 防具選項轉換石20個</t>
  </si>
  <si>
    <t>[阿利爾] 核心備份模塊20個</t>
  </si>
  <si>
    <t>核心備份模塊10個</t>
  </si>
  <si>
    <t>彈匣魔方</t>
  </si>
  <si>
    <t>成交ED名目紀錄</t>
  </si>
  <si>
    <t>ED比值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</si>
</sst>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_-* #,##0_-;\-* #,##0_-;_-* &quot;-&quot;??_-;_-@_-"/>
    <numFmt numFmtId="177" formatCode="#,##0_);[Red]\(#,##0\)"/>
    <numFmt numFmtId="178" formatCode="m&quot;月&quot;d&quot;日&quot;"/>
  </numFmts>
  <fonts count="9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b/>
      <sz val="12"/>
      <color theme="1"/>
      <name val="Inherit"/>
      <family val="2"/>
    </font>
    <font>
      <sz val="12"/>
      <color theme="1"/>
      <name val="微軟正黑體"/>
      <family val="2"/>
      <charset val="136"/>
    </font>
    <font>
      <sz val="12"/>
      <color theme="1"/>
      <name val="Inherit"/>
      <family val="2"/>
    </font>
    <font>
      <sz val="9"/>
      <name val="新細明體"/>
      <family val="3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sz val="11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>
      <alignment vertical="center"/>
    </xf>
  </cellStyleXfs>
  <cellXfs count="3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horizontal="left" vertical="center" indent="1"/>
    </xf>
    <xf numFmtId="0" fontId="0" fillId="0" borderId="1" xfId="0" applyBorder="1"/>
    <xf numFmtId="0" fontId="3" fillId="0" borderId="0" xfId="0" applyFont="1" applyAlignment="1">
      <alignment horizontal="left" vertical="center" indent="1"/>
    </xf>
    <xf numFmtId="0" fontId="0" fillId="2" borderId="0" xfId="0" applyFill="1"/>
    <xf numFmtId="0" fontId="0" fillId="0" borderId="0" xfId="0"/>
    <xf numFmtId="0" fontId="6" fillId="0" borderId="0" xfId="0" applyFont="1" applyAlignment="1">
      <alignment vertical="center"/>
    </xf>
    <xf numFmtId="0" fontId="6" fillId="0" borderId="1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8" fillId="0" borderId="1" xfId="0" applyFont="1" applyBorder="1"/>
    <xf numFmtId="0" fontId="8" fillId="0" borderId="0" xfId="0" applyFont="1"/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/>
    </xf>
    <xf numFmtId="0" fontId="0" fillId="0" borderId="0" xfId="0" applyAlignment="1">
      <alignment horizontal="right"/>
    </xf>
    <xf numFmtId="176" fontId="0" fillId="0" borderId="0" xfId="1" applyNumberFormat="1" applyFont="1" applyAlignment="1"/>
    <xf numFmtId="43" fontId="0" fillId="0" borderId="0" xfId="1" applyFont="1" applyAlignment="1"/>
    <xf numFmtId="176" fontId="0" fillId="2" borderId="0" xfId="1" applyNumberFormat="1" applyFont="1" applyFill="1" applyAlignment="1"/>
    <xf numFmtId="176" fontId="7" fillId="0" borderId="0" xfId="1" applyNumberFormat="1" applyFont="1" applyAlignment="1">
      <alignment horizontal="left" vertical="center" indent="1"/>
    </xf>
    <xf numFmtId="176" fontId="7" fillId="0" borderId="1" xfId="1" applyNumberFormat="1" applyFont="1" applyBorder="1" applyAlignment="1">
      <alignment horizontal="left" vertical="center" indent="1"/>
    </xf>
    <xf numFmtId="176" fontId="7" fillId="0" borderId="0" xfId="1" applyNumberFormat="1" applyFont="1" applyAlignment="1">
      <alignment horizontal="left" vertical="top" indent="1"/>
    </xf>
    <xf numFmtId="43" fontId="0" fillId="0" borderId="0" xfId="0" applyNumberFormat="1"/>
    <xf numFmtId="177" fontId="0" fillId="0" borderId="0" xfId="1" applyNumberFormat="1" applyFont="1" applyAlignment="1"/>
    <xf numFmtId="176" fontId="7" fillId="2" borderId="0" xfId="1" applyNumberFormat="1" applyFont="1" applyFill="1" applyAlignment="1">
      <alignment horizontal="left"/>
    </xf>
    <xf numFmtId="176" fontId="7" fillId="2" borderId="1" xfId="1" applyNumberFormat="1" applyFont="1" applyFill="1" applyBorder="1" applyAlignment="1">
      <alignment horizontal="left"/>
    </xf>
    <xf numFmtId="176" fontId="8" fillId="2" borderId="0" xfId="1" applyNumberFormat="1" applyFont="1" applyFill="1" applyAlignment="1">
      <alignment horizontal="left"/>
    </xf>
    <xf numFmtId="176" fontId="8" fillId="2" borderId="1" xfId="1" applyNumberFormat="1" applyFont="1" applyFill="1" applyBorder="1" applyAlignment="1">
      <alignment horizontal="left"/>
    </xf>
    <xf numFmtId="176" fontId="0" fillId="0" borderId="0" xfId="1" applyNumberFormat="1" applyFont="1" applyAlignment="1">
      <alignment horizontal="right"/>
    </xf>
    <xf numFmtId="178" fontId="6" fillId="0" borderId="0" xfId="0" applyNumberFormat="1" applyFont="1" applyAlignment="1">
      <alignment horizontal="right" vertical="center"/>
    </xf>
    <xf numFmtId="176" fontId="6" fillId="0" borderId="0" xfId="1" applyNumberFormat="1" applyFont="1" applyAlignment="1">
      <alignment horizontal="right"/>
    </xf>
    <xf numFmtId="176" fontId="7" fillId="2" borderId="0" xfId="1" applyNumberFormat="1" applyFont="1" applyFill="1" applyAlignment="1"/>
    <xf numFmtId="176" fontId="7" fillId="0" borderId="0" xfId="1" applyNumberFormat="1" applyFont="1" applyAlignment="1"/>
    <xf numFmtId="176" fontId="7" fillId="2" borderId="0" xfId="1" applyNumberFormat="1" applyFont="1" applyFill="1" applyAlignment="1">
      <alignment horizontal="left" vertical="center" indent="1"/>
    </xf>
    <xf numFmtId="176" fontId="7" fillId="2" borderId="1" xfId="1" applyNumberFormat="1" applyFont="1" applyFill="1" applyBorder="1" applyAlignment="1">
      <alignment horizontal="left" vertical="center" indent="1"/>
    </xf>
    <xf numFmtId="176" fontId="7" fillId="0" borderId="0" xfId="1" applyNumberFormat="1" applyFont="1" applyFill="1" applyAlignment="1"/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8"/>
  <sheetViews>
    <sheetView zoomScale="85" zoomScaleNormal="85" workbookViewId="0">
      <selection activeCell="F1" sqref="F1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</cols>
  <sheetData>
    <row r="1" spans="1:12">
      <c r="A1" t="s">
        <v>0</v>
      </c>
      <c r="B1" t="s">
        <v>1</v>
      </c>
      <c r="C1" s="4" t="s">
        <v>2</v>
      </c>
      <c r="E1" s="16" t="s">
        <v>3</v>
      </c>
      <c r="F1" s="16">
        <v>10000000</v>
      </c>
      <c r="G1" s="16" t="s">
        <v>4</v>
      </c>
      <c r="H1" s="16">
        <v>500000000</v>
      </c>
      <c r="I1" s="16" t="s">
        <v>5</v>
      </c>
      <c r="J1" s="17">
        <v>0.87</v>
      </c>
      <c r="K1" s="16" t="s">
        <v>6</v>
      </c>
      <c r="L1">
        <v>30000</v>
      </c>
    </row>
    <row r="2" spans="1:12" ht="16.5" customHeight="1">
      <c r="A2" s="1" t="s">
        <v>7</v>
      </c>
      <c r="B2" s="8" t="s">
        <v>8</v>
      </c>
      <c r="C2" s="9" t="s">
        <v>8</v>
      </c>
      <c r="D2" s="10" t="s">
        <v>9</v>
      </c>
      <c r="E2" t="s">
        <v>10</v>
      </c>
      <c r="F2" t="s">
        <v>11</v>
      </c>
      <c r="G2" s="16" t="s">
        <v>12</v>
      </c>
      <c r="H2" s="16" t="s">
        <v>13</v>
      </c>
      <c r="I2" t="s">
        <v>14</v>
      </c>
      <c r="J2" t="s">
        <v>15</v>
      </c>
      <c r="K2" t="s">
        <v>16</v>
      </c>
    </row>
    <row r="3" spans="1:12" ht="16.5" customHeight="1">
      <c r="A3" s="2" t="s">
        <v>17</v>
      </c>
      <c r="B3" s="14"/>
      <c r="C3" s="13"/>
      <c r="D3" s="14"/>
      <c r="E3" s="6"/>
      <c r="F3" s="6"/>
      <c r="G3" s="18"/>
      <c r="H3" s="18"/>
      <c r="I3" s="6"/>
      <c r="J3" s="6"/>
      <c r="K3" s="6"/>
    </row>
    <row r="4" spans="1:12" ht="16.5" customHeight="1">
      <c r="A4" s="3" t="s">
        <v>18</v>
      </c>
      <c r="B4" s="19"/>
      <c r="C4" s="20"/>
      <c r="D4" s="21">
        <f>H1*H4</f>
        <v>5000000000</v>
      </c>
      <c r="F4" s="22">
        <f>J1*E4</f>
        <v>0</v>
      </c>
      <c r="H4" s="16">
        <v>10</v>
      </c>
    </row>
    <row r="5" spans="1:12" ht="16.5" customHeight="1">
      <c r="A5" s="3" t="s">
        <v>19</v>
      </c>
      <c r="B5" s="19"/>
      <c r="C5" s="20"/>
      <c r="D5" s="19">
        <f>H1*H5</f>
        <v>1000000000</v>
      </c>
      <c r="F5" s="22">
        <f>J1*E5</f>
        <v>0</v>
      </c>
      <c r="H5" s="16">
        <v>2</v>
      </c>
    </row>
    <row r="6" spans="1:12" ht="16.5" customHeight="1">
      <c r="A6" s="3" t="s">
        <v>20</v>
      </c>
      <c r="B6" s="19"/>
      <c r="C6" s="20"/>
      <c r="D6" s="19">
        <f>F1*F6</f>
        <v>756900000</v>
      </c>
      <c r="E6">
        <f>29*3</f>
        <v>87</v>
      </c>
      <c r="F6" s="22">
        <f>J1*E6</f>
        <v>75.69</v>
      </c>
    </row>
    <row r="7" spans="1:12" ht="16.5" customHeight="1">
      <c r="A7" s="3" t="s">
        <v>21</v>
      </c>
      <c r="B7" s="19"/>
      <c r="C7" s="20"/>
      <c r="D7" s="19">
        <f>G7</f>
        <v>100000000</v>
      </c>
      <c r="F7" s="22">
        <f>J1*E7</f>
        <v>0</v>
      </c>
      <c r="G7" s="16">
        <v>100000000</v>
      </c>
    </row>
    <row r="8" spans="1:12" ht="16.5" customHeight="1">
      <c r="A8" s="3" t="s">
        <v>22</v>
      </c>
      <c r="B8" s="19"/>
      <c r="C8" s="20"/>
      <c r="D8" s="19">
        <f>G8</f>
        <v>400000000</v>
      </c>
      <c r="E8">
        <v>88</v>
      </c>
      <c r="F8" s="22"/>
      <c r="G8" s="16">
        <v>400000000</v>
      </c>
    </row>
    <row r="9" spans="1:12" ht="16.5" customHeight="1">
      <c r="A9" s="3" t="s">
        <v>23</v>
      </c>
      <c r="B9" s="19"/>
      <c r="C9" s="20"/>
      <c r="D9" s="19">
        <f>G9</f>
        <v>3000000000</v>
      </c>
      <c r="F9" s="22">
        <f>E9*J1</f>
        <v>0</v>
      </c>
      <c r="G9" s="16">
        <f>L1*100*1000</f>
        <v>3000000000</v>
      </c>
      <c r="I9" s="23"/>
      <c r="J9" s="23"/>
    </row>
    <row r="10" spans="1:12" ht="16.5" customHeight="1">
      <c r="A10" s="2" t="s">
        <v>24</v>
      </c>
      <c r="B10" s="24"/>
      <c r="C10" s="25"/>
      <c r="D10" s="24"/>
      <c r="E10" s="6"/>
      <c r="F10" s="6"/>
      <c r="G10" s="18"/>
      <c r="H10" s="18"/>
      <c r="I10" s="6"/>
      <c r="J10" s="6"/>
      <c r="K10" s="6"/>
    </row>
    <row r="11" spans="1:12" ht="16.5" customHeight="1">
      <c r="A11" s="5" t="s">
        <v>25</v>
      </c>
      <c r="B11" s="19"/>
      <c r="C11" s="20"/>
      <c r="D11" s="19">
        <f>H1*H11</f>
        <v>10000000000</v>
      </c>
      <c r="H11" s="16">
        <v>20</v>
      </c>
    </row>
    <row r="12" spans="1:12" ht="16.5" customHeight="1">
      <c r="A12" s="3" t="s">
        <v>26</v>
      </c>
      <c r="B12" s="19"/>
      <c r="C12" s="20"/>
      <c r="D12" s="19">
        <f>H1*H12</f>
        <v>2000000000</v>
      </c>
      <c r="H12" s="16">
        <v>4</v>
      </c>
    </row>
    <row r="13" spans="1:12" ht="16.5" customHeight="1">
      <c r="A13" s="3" t="s">
        <v>27</v>
      </c>
      <c r="B13" s="19"/>
      <c r="C13" s="20"/>
      <c r="D13" s="19">
        <f>F1*F13</f>
        <v>1261500000</v>
      </c>
      <c r="E13">
        <f>29*5</f>
        <v>145</v>
      </c>
      <c r="F13" s="22">
        <f>E13*J1</f>
        <v>126.15</v>
      </c>
    </row>
    <row r="14" spans="1:12" ht="16.5" customHeight="1">
      <c r="A14" s="3" t="s">
        <v>28</v>
      </c>
      <c r="B14" s="19"/>
      <c r="C14" s="20"/>
      <c r="D14" s="19">
        <f>G14</f>
        <v>300000000</v>
      </c>
      <c r="G14" s="16">
        <f>G7*3</f>
        <v>300000000</v>
      </c>
    </row>
    <row r="15" spans="1:12" ht="16.5" customHeight="1">
      <c r="A15" s="3" t="s">
        <v>29</v>
      </c>
      <c r="B15" s="19"/>
      <c r="C15" s="20"/>
      <c r="D15" s="19">
        <f>G15</f>
        <v>1200000000</v>
      </c>
      <c r="E15">
        <f>E16*3</f>
        <v>264</v>
      </c>
      <c r="F15" s="22"/>
      <c r="G15" s="16">
        <f>G16*3</f>
        <v>1200000000</v>
      </c>
    </row>
    <row r="16" spans="1:12" ht="16.5" customHeight="1">
      <c r="A16" s="3" t="s">
        <v>30</v>
      </c>
      <c r="B16" s="19"/>
      <c r="C16" s="20"/>
      <c r="D16" s="19">
        <f>G16</f>
        <v>400000000</v>
      </c>
      <c r="E16">
        <v>88</v>
      </c>
      <c r="F16" s="22"/>
      <c r="G16" s="16">
        <v>400000000</v>
      </c>
    </row>
    <row r="17" spans="1:11" ht="16.5" customHeight="1">
      <c r="A17" s="3" t="s">
        <v>31</v>
      </c>
      <c r="B17" s="19"/>
      <c r="C17" s="20"/>
      <c r="D17" s="19">
        <f>G17</f>
        <v>6000000000</v>
      </c>
      <c r="G17" s="16">
        <f>L1*100*2000</f>
        <v>6000000000</v>
      </c>
      <c r="I17" s="23"/>
      <c r="J17" s="23"/>
    </row>
    <row r="18" spans="1:11" ht="16.5" customHeight="1">
      <c r="A18" s="2" t="s">
        <v>32</v>
      </c>
      <c r="B18" s="24"/>
      <c r="C18" s="25"/>
      <c r="D18" s="24"/>
      <c r="E18" s="6"/>
      <c r="F18" s="6"/>
      <c r="G18" s="18"/>
      <c r="H18" s="18"/>
      <c r="I18" s="6"/>
      <c r="J18" s="6"/>
      <c r="K18" s="6"/>
    </row>
    <row r="19" spans="1:11" ht="16.5" customHeight="1">
      <c r="A19" s="3" t="s">
        <v>33</v>
      </c>
      <c r="B19" s="19"/>
      <c r="C19" s="20"/>
      <c r="D19" s="19">
        <f>H1*H19</f>
        <v>30000000000</v>
      </c>
      <c r="H19" s="16">
        <v>60</v>
      </c>
    </row>
    <row r="20" spans="1:11" ht="16.5" customHeight="1">
      <c r="A20" s="3" t="s">
        <v>34</v>
      </c>
      <c r="B20" s="19"/>
      <c r="C20" s="20"/>
      <c r="D20" s="19">
        <f>H1*H20</f>
        <v>40000000000</v>
      </c>
      <c r="H20" s="16">
        <v>80</v>
      </c>
    </row>
    <row r="21" spans="1:11" ht="16.5" customHeight="1">
      <c r="A21" s="3" t="s">
        <v>35</v>
      </c>
      <c r="B21" s="19"/>
      <c r="C21" s="20"/>
      <c r="D21" s="19">
        <f>H1*H21</f>
        <v>20000000000</v>
      </c>
      <c r="H21" s="16">
        <v>40</v>
      </c>
    </row>
    <row r="22" spans="1:11" ht="16.5" customHeight="1">
      <c r="A22" s="3" t="s">
        <v>36</v>
      </c>
      <c r="B22" s="19"/>
      <c r="C22" s="20"/>
      <c r="D22" s="19">
        <f>F22*F1</f>
        <v>2523000000</v>
      </c>
      <c r="E22">
        <f>29*10</f>
        <v>290</v>
      </c>
      <c r="F22" s="22">
        <f>E22*J1</f>
        <v>252.3</v>
      </c>
    </row>
    <row r="23" spans="1:11" ht="16.5" customHeight="1">
      <c r="A23" s="3" t="s">
        <v>37</v>
      </c>
      <c r="B23" s="19"/>
      <c r="C23" s="20"/>
      <c r="D23" s="19">
        <f>H1*H23</f>
        <v>30000000000</v>
      </c>
      <c r="H23" s="16">
        <v>60</v>
      </c>
    </row>
    <row r="24" spans="1:11" ht="16.5" customHeight="1">
      <c r="A24" s="3" t="s">
        <v>38</v>
      </c>
      <c r="B24" s="19"/>
      <c r="C24" s="20"/>
      <c r="D24" s="19">
        <f>G24</f>
        <v>4000000000</v>
      </c>
      <c r="E24">
        <f>E16*10</f>
        <v>880</v>
      </c>
      <c r="G24" s="16">
        <f>G16*10</f>
        <v>4000000000</v>
      </c>
    </row>
    <row r="25" spans="1:11" ht="16.5" customHeight="1">
      <c r="A25" s="3" t="s">
        <v>39</v>
      </c>
      <c r="B25" s="19"/>
      <c r="C25" s="20"/>
      <c r="D25" s="19">
        <f>G25</f>
        <v>2000000000</v>
      </c>
      <c r="E25">
        <f>E16*5</f>
        <v>440</v>
      </c>
      <c r="G25" s="16">
        <f>G16*5</f>
        <v>2000000000</v>
      </c>
    </row>
    <row r="26" spans="1:11" ht="16.5" customHeight="1">
      <c r="A26" s="2" t="s">
        <v>40</v>
      </c>
      <c r="B26" s="24"/>
      <c r="C26" s="25"/>
      <c r="D26" s="24"/>
      <c r="E26" s="6"/>
      <c r="F26" s="6"/>
      <c r="G26" s="18"/>
      <c r="H26" s="18"/>
      <c r="I26" s="6"/>
      <c r="J26" s="6"/>
      <c r="K26" s="6"/>
    </row>
    <row r="27" spans="1:11" ht="16.5" customHeight="1">
      <c r="A27" s="3" t="s">
        <v>41</v>
      </c>
      <c r="B27" s="19"/>
      <c r="C27" s="20"/>
      <c r="D27" s="19">
        <f>H1*H27</f>
        <v>30000000000</v>
      </c>
      <c r="H27" s="16">
        <v>60</v>
      </c>
    </row>
    <row r="28" spans="1:11" ht="16.5" customHeight="1">
      <c r="A28" s="3" t="s">
        <v>42</v>
      </c>
      <c r="B28" s="19"/>
      <c r="C28" s="20"/>
      <c r="D28" s="19">
        <f>H1*H28</f>
        <v>40000000000</v>
      </c>
      <c r="H28" s="16">
        <v>80</v>
      </c>
    </row>
    <row r="29" spans="1:11" ht="16.5" customHeight="1">
      <c r="A29" s="3" t="s">
        <v>43</v>
      </c>
      <c r="B29" s="19"/>
      <c r="C29" s="20"/>
      <c r="D29" s="19">
        <f>H1*H29</f>
        <v>50000000000</v>
      </c>
      <c r="H29" s="16">
        <v>100</v>
      </c>
    </row>
    <row r="30" spans="1:11" ht="16.5" customHeight="1">
      <c r="A30" s="3" t="s">
        <v>44</v>
      </c>
      <c r="B30" s="19"/>
      <c r="C30" s="20"/>
      <c r="D30" s="19">
        <f>F1*F30</f>
        <v>10000000000</v>
      </c>
      <c r="F30">
        <v>1000</v>
      </c>
    </row>
    <row r="31" spans="1:11" ht="16.5" customHeight="1">
      <c r="A31" s="3" t="s">
        <v>45</v>
      </c>
      <c r="B31" s="19"/>
      <c r="C31" s="20"/>
      <c r="D31" s="19">
        <f>F1*F31</f>
        <v>10000000000</v>
      </c>
      <c r="F31">
        <v>1000</v>
      </c>
    </row>
    <row r="32" spans="1:11" ht="16.5" customHeight="1">
      <c r="A32" s="3" t="s">
        <v>46</v>
      </c>
      <c r="B32" s="19"/>
      <c r="C32" s="20"/>
      <c r="D32" s="19">
        <f>F32*F1</f>
        <v>3784500000</v>
      </c>
      <c r="E32">
        <f>29*15</f>
        <v>435</v>
      </c>
      <c r="F32" s="22">
        <f>E32*J1</f>
        <v>378.45</v>
      </c>
    </row>
    <row r="33" spans="1:11" ht="16.5" customHeight="1">
      <c r="A33" s="3" t="s">
        <v>47</v>
      </c>
      <c r="B33" s="19"/>
      <c r="C33" s="20"/>
      <c r="D33" s="19">
        <f>G33</f>
        <v>6000000000</v>
      </c>
      <c r="E33">
        <f>E16*15</f>
        <v>1320</v>
      </c>
      <c r="G33" s="16">
        <f>G16*15</f>
        <v>6000000000</v>
      </c>
    </row>
    <row r="34" spans="1:11" ht="16.5" customHeight="1">
      <c r="A34" s="3" t="s">
        <v>48</v>
      </c>
      <c r="B34" s="19"/>
      <c r="C34" s="20"/>
      <c r="D34" s="19">
        <f>G34</f>
        <v>2800000000</v>
      </c>
      <c r="E34">
        <f>E16*7</f>
        <v>616</v>
      </c>
      <c r="G34" s="16">
        <f>G16*7</f>
        <v>2800000000</v>
      </c>
    </row>
    <row r="35" spans="1:11" ht="16.5" customHeight="1">
      <c r="A35" s="2" t="s">
        <v>49</v>
      </c>
      <c r="B35" s="24"/>
      <c r="C35" s="25"/>
      <c r="D35" s="24"/>
      <c r="E35" s="6"/>
      <c r="F35" s="6"/>
      <c r="G35" s="18"/>
      <c r="H35" s="18"/>
      <c r="I35" s="6"/>
      <c r="J35" s="6"/>
      <c r="K35" s="6"/>
    </row>
    <row r="36" spans="1:11" ht="16.5" customHeight="1">
      <c r="A36" s="3" t="s">
        <v>50</v>
      </c>
      <c r="B36" s="19"/>
      <c r="C36" s="20"/>
      <c r="D36" s="19" t="s">
        <v>51</v>
      </c>
    </row>
    <row r="37" spans="1:11" ht="16.5" customHeight="1">
      <c r="A37" s="3" t="s">
        <v>52</v>
      </c>
      <c r="B37" s="19"/>
      <c r="C37" s="20"/>
      <c r="D37" s="19" t="s">
        <v>51</v>
      </c>
    </row>
    <row r="38" spans="1:11" ht="16.5" customHeight="1">
      <c r="A38" s="3" t="s">
        <v>53</v>
      </c>
      <c r="B38" s="19"/>
      <c r="C38" s="20"/>
      <c r="D38" s="19">
        <f>F1*F38</f>
        <v>20000000000</v>
      </c>
      <c r="F38">
        <v>2000</v>
      </c>
    </row>
    <row r="39" spans="1:11" ht="16.5" customHeight="1">
      <c r="A39" s="3" t="s">
        <v>54</v>
      </c>
      <c r="B39" s="19"/>
      <c r="C39" s="20"/>
      <c r="D39" s="19">
        <f>F1*F39</f>
        <v>5046000000</v>
      </c>
      <c r="E39">
        <f>29*20</f>
        <v>580</v>
      </c>
      <c r="F39" s="22">
        <f>E39*J1</f>
        <v>504.6</v>
      </c>
    </row>
    <row r="40" spans="1:11" ht="16.5" customHeight="1">
      <c r="A40" s="3" t="s">
        <v>55</v>
      </c>
      <c r="B40" s="19"/>
      <c r="C40" s="20"/>
      <c r="D40" s="19">
        <f>G40</f>
        <v>8000000000</v>
      </c>
      <c r="E40">
        <f>E16*20</f>
        <v>1760</v>
      </c>
      <c r="G40" s="16">
        <f>G16*20</f>
        <v>8000000000</v>
      </c>
    </row>
    <row r="41" spans="1:11" ht="16.5" customHeight="1">
      <c r="A41" s="3" t="s">
        <v>56</v>
      </c>
      <c r="B41" s="19"/>
      <c r="C41" s="20"/>
      <c r="D41" s="19">
        <f>G41</f>
        <v>4000000000</v>
      </c>
      <c r="E41">
        <f>E16*10</f>
        <v>880</v>
      </c>
      <c r="G41" s="16">
        <f>G16*10</f>
        <v>4000000000</v>
      </c>
    </row>
    <row r="42" spans="1:11">
      <c r="A42" s="6"/>
      <c r="B42" s="26"/>
      <c r="C42" s="27"/>
      <c r="D42" s="26"/>
      <c r="E42" s="6"/>
      <c r="F42" s="6"/>
      <c r="G42" s="18"/>
      <c r="H42" s="18"/>
      <c r="I42" s="6"/>
      <c r="J42" s="6"/>
      <c r="K42" s="6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41"/>
  <sheetViews>
    <sheetView workbookViewId="0">
      <selection activeCell="B17" sqref="B17"/>
    </sheetView>
  </sheetViews>
  <sheetFormatPr defaultRowHeight="15.75"/>
  <cols>
    <col min="2" max="2" width="9.140625" style="7" customWidth="1"/>
  </cols>
  <sheetData>
    <row r="2" spans="1:1">
      <c r="A2" s="1" t="s">
        <v>7</v>
      </c>
    </row>
    <row r="3" spans="1:1">
      <c r="A3" s="2" t="s">
        <v>17</v>
      </c>
    </row>
    <row r="4" spans="1:1">
      <c r="A4" s="3" t="s">
        <v>18</v>
      </c>
    </row>
    <row r="5" spans="1:1">
      <c r="A5" s="3" t="s">
        <v>19</v>
      </c>
    </row>
    <row r="6" spans="1:1">
      <c r="A6" s="3" t="s">
        <v>20</v>
      </c>
    </row>
    <row r="7" spans="1:1">
      <c r="A7" s="3" t="s">
        <v>21</v>
      </c>
    </row>
    <row r="8" spans="1:1">
      <c r="A8" s="3" t="s">
        <v>22</v>
      </c>
    </row>
    <row r="9" spans="1:1">
      <c r="A9" s="3" t="s">
        <v>23</v>
      </c>
    </row>
    <row r="10" spans="1:1">
      <c r="A10" s="2" t="s">
        <v>24</v>
      </c>
    </row>
    <row r="11" spans="1:1">
      <c r="A11" s="3" t="s">
        <v>57</v>
      </c>
    </row>
    <row r="12" spans="1:1">
      <c r="A12" s="3" t="s">
        <v>26</v>
      </c>
    </row>
    <row r="13" spans="1:1">
      <c r="A13" s="3" t="s">
        <v>27</v>
      </c>
    </row>
    <row r="14" spans="1:1">
      <c r="A14" s="3" t="s">
        <v>28</v>
      </c>
    </row>
    <row r="15" spans="1:1">
      <c r="A15" s="3" t="s">
        <v>29</v>
      </c>
    </row>
    <row r="16" spans="1:1">
      <c r="A16" s="3" t="s">
        <v>30</v>
      </c>
    </row>
    <row r="17" spans="1:1">
      <c r="A17" s="3" t="s">
        <v>31</v>
      </c>
    </row>
    <row r="18" spans="1:1">
      <c r="A18" s="2" t="s">
        <v>32</v>
      </c>
    </row>
    <row r="19" spans="1:1">
      <c r="A19" s="3" t="s">
        <v>33</v>
      </c>
    </row>
    <row r="20" spans="1:1">
      <c r="A20" s="3" t="s">
        <v>34</v>
      </c>
    </row>
    <row r="21" spans="1:1">
      <c r="A21" s="3" t="s">
        <v>35</v>
      </c>
    </row>
    <row r="22" spans="1:1">
      <c r="A22" s="3" t="s">
        <v>36</v>
      </c>
    </row>
    <row r="23" spans="1:1">
      <c r="A23" s="3" t="s">
        <v>37</v>
      </c>
    </row>
    <row r="24" spans="1:1">
      <c r="A24" s="3" t="s">
        <v>38</v>
      </c>
    </row>
    <row r="25" spans="1:1">
      <c r="A25" s="3" t="s">
        <v>39</v>
      </c>
    </row>
    <row r="26" spans="1:1">
      <c r="A26" s="2" t="s">
        <v>40</v>
      </c>
    </row>
    <row r="27" spans="1:1">
      <c r="A27" s="3" t="s">
        <v>41</v>
      </c>
    </row>
    <row r="28" spans="1:1">
      <c r="A28" s="3" t="s">
        <v>42</v>
      </c>
    </row>
    <row r="29" spans="1:1">
      <c r="A29" s="3" t="s">
        <v>43</v>
      </c>
    </row>
    <row r="30" spans="1:1">
      <c r="A30" s="3" t="s">
        <v>44</v>
      </c>
    </row>
    <row r="31" spans="1:1">
      <c r="A31" s="3" t="s">
        <v>45</v>
      </c>
    </row>
    <row r="32" spans="1:1">
      <c r="A32" s="3" t="s">
        <v>46</v>
      </c>
    </row>
    <row r="33" spans="1:1">
      <c r="A33" s="3" t="s">
        <v>47</v>
      </c>
    </row>
    <row r="34" spans="1:1">
      <c r="A34" s="3" t="s">
        <v>48</v>
      </c>
    </row>
    <row r="35" spans="1:1">
      <c r="A35" s="2" t="s">
        <v>49</v>
      </c>
    </row>
    <row r="36" spans="1:1">
      <c r="A36" s="3" t="s">
        <v>50</v>
      </c>
    </row>
    <row r="37" spans="1:1">
      <c r="A37" s="3" t="s">
        <v>52</v>
      </c>
    </row>
    <row r="38" spans="1:1">
      <c r="A38" s="3" t="s">
        <v>53</v>
      </c>
    </row>
    <row r="39" spans="1:1">
      <c r="A39" s="3" t="s">
        <v>54</v>
      </c>
    </row>
    <row r="40" spans="1:1">
      <c r="A40" s="3" t="s">
        <v>55</v>
      </c>
    </row>
    <row r="41" spans="1:1">
      <c r="A41" s="3" t="s">
        <v>56</v>
      </c>
    </row>
  </sheetData>
  <phoneticPr fontId="5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78"/>
  <sheetViews>
    <sheetView zoomScale="85" zoomScaleNormal="85" workbookViewId="0">
      <selection activeCell="H11" sqref="H11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</cols>
  <sheetData>
    <row r="1" spans="1:19">
      <c r="B1" t="s">
        <v>1</v>
      </c>
      <c r="C1" s="4" t="s">
        <v>2</v>
      </c>
      <c r="D1" s="15"/>
      <c r="E1" s="28"/>
      <c r="F1" s="16"/>
      <c r="H1"/>
      <c r="I1" s="16"/>
      <c r="J1" s="17"/>
      <c r="K1" s="16"/>
    </row>
    <row r="2" spans="1:19" ht="16.5" customHeight="1">
      <c r="A2" s="1" t="s">
        <v>7</v>
      </c>
      <c r="B2" s="8" t="s">
        <v>8</v>
      </c>
      <c r="C2" s="9" t="s">
        <v>8</v>
      </c>
      <c r="D2" s="29"/>
      <c r="E2" s="30"/>
    </row>
    <row r="3" spans="1:19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9" ht="16.5" customHeight="1">
      <c r="A4" s="3" t="s">
        <v>18</v>
      </c>
      <c r="B4" s="19">
        <f t="shared" ref="B4:B9" si="0">MIN(D4:AZ4)</f>
        <v>100000000</v>
      </c>
      <c r="C4" s="20">
        <f t="shared" ref="C4:C9" si="1">MAX(D4:AZ4)</f>
        <v>1736437500</v>
      </c>
      <c r="D4" s="21">
        <v>607753125</v>
      </c>
      <c r="E4" s="32">
        <v>840000000</v>
      </c>
      <c r="F4" s="32">
        <v>804057383</v>
      </c>
      <c r="G4" s="32">
        <v>1000000000</v>
      </c>
      <c r="H4" s="32">
        <v>738727721</v>
      </c>
      <c r="I4" s="32">
        <v>1276281562</v>
      </c>
      <c r="J4" s="32">
        <v>1736437500</v>
      </c>
      <c r="K4" s="32">
        <v>926100000</v>
      </c>
      <c r="L4">
        <v>840000000</v>
      </c>
      <c r="M4">
        <v>525000000</v>
      </c>
      <c r="N4">
        <v>292526061</v>
      </c>
      <c r="O4">
        <v>100000000</v>
      </c>
      <c r="P4">
        <v>630000000</v>
      </c>
      <c r="Q4">
        <v>765768937</v>
      </c>
      <c r="R4">
        <v>347287500</v>
      </c>
      <c r="S4">
        <v>942824568</v>
      </c>
    </row>
    <row r="5" spans="1:19" ht="16.5" customHeight="1">
      <c r="A5" s="3" t="s">
        <v>19</v>
      </c>
      <c r="B5" s="19">
        <f t="shared" si="0"/>
        <v>121550625</v>
      </c>
      <c r="C5" s="20">
        <f t="shared" si="1"/>
        <v>1039464085</v>
      </c>
      <c r="D5" s="19">
        <v>1039464085</v>
      </c>
      <c r="E5" s="32">
        <v>121550625</v>
      </c>
      <c r="F5" s="32">
        <v>513781804</v>
      </c>
      <c r="G5" s="32"/>
      <c r="H5" s="32"/>
      <c r="I5" s="32"/>
      <c r="J5" s="32"/>
      <c r="K5" s="32"/>
    </row>
    <row r="6" spans="1:19" ht="16.5" customHeight="1">
      <c r="A6" s="3" t="s">
        <v>20</v>
      </c>
      <c r="B6" s="19">
        <f t="shared" si="0"/>
        <v>281420083</v>
      </c>
      <c r="C6" s="20">
        <f t="shared" si="1"/>
        <v>893397093</v>
      </c>
      <c r="D6" s="19">
        <v>661500000</v>
      </c>
      <c r="E6" s="32">
        <v>281420083</v>
      </c>
      <c r="F6" s="32">
        <v>893397093</v>
      </c>
      <c r="G6" s="32">
        <v>752456250</v>
      </c>
      <c r="H6" s="32">
        <v>752456250</v>
      </c>
      <c r="I6" s="32">
        <v>814447312</v>
      </c>
      <c r="J6" s="32">
        <v>703550211</v>
      </c>
      <c r="K6" s="32">
        <v>315000000</v>
      </c>
    </row>
    <row r="7" spans="1:19" ht="16.5" customHeight="1">
      <c r="A7" s="3" t="s">
        <v>21</v>
      </c>
      <c r="B7" s="19">
        <f t="shared" si="0"/>
        <v>52500000</v>
      </c>
      <c r="C7" s="20">
        <f t="shared" si="1"/>
        <v>252000000</v>
      </c>
      <c r="D7" s="19">
        <v>252000000</v>
      </c>
      <c r="E7" s="32">
        <v>52500000</v>
      </c>
      <c r="F7" s="32">
        <v>231525000</v>
      </c>
      <c r="G7" s="32">
        <v>115762500</v>
      </c>
      <c r="H7" s="32"/>
      <c r="I7" s="32"/>
      <c r="J7" s="32"/>
      <c r="K7" s="32"/>
    </row>
    <row r="8" spans="1:19" ht="16.5" customHeight="1">
      <c r="A8" s="3" t="s">
        <v>22</v>
      </c>
      <c r="B8" s="19">
        <f t="shared" si="0"/>
        <v>11025000</v>
      </c>
      <c r="C8" s="20">
        <f t="shared" si="1"/>
        <v>231525000</v>
      </c>
      <c r="D8" s="19">
        <v>15513279</v>
      </c>
      <c r="E8" s="32">
        <v>231525000</v>
      </c>
      <c r="F8" s="32">
        <v>17103389</v>
      </c>
      <c r="G8" s="32">
        <v>32250982</v>
      </c>
      <c r="H8" s="32">
        <v>60000000</v>
      </c>
      <c r="I8" s="32">
        <v>20789274</v>
      </c>
      <c r="J8" s="32">
        <v>50000000</v>
      </c>
      <c r="K8" s="32">
        <v>26594196</v>
      </c>
      <c r="L8">
        <v>26250000</v>
      </c>
      <c r="M8">
        <v>136500000</v>
      </c>
      <c r="N8">
        <v>11025000</v>
      </c>
      <c r="O8">
        <v>13400955</v>
      </c>
      <c r="P8">
        <v>11576250</v>
      </c>
      <c r="Q8">
        <v>100000000</v>
      </c>
      <c r="R8">
        <v>12249999</v>
      </c>
    </row>
    <row r="9" spans="1:19" ht="16.5" customHeight="1">
      <c r="A9" s="3" t="s">
        <v>23</v>
      </c>
      <c r="B9" s="19">
        <f t="shared" si="0"/>
        <v>422130125</v>
      </c>
      <c r="C9" s="20">
        <f t="shared" si="1"/>
        <v>1583945273</v>
      </c>
      <c r="D9" s="19">
        <v>422130125</v>
      </c>
      <c r="E9" s="32">
        <v>1100000000</v>
      </c>
      <c r="F9" s="32">
        <v>1000000000</v>
      </c>
      <c r="G9" s="32">
        <v>630000000</v>
      </c>
      <c r="H9" s="32">
        <v>630000000</v>
      </c>
      <c r="I9" s="32">
        <v>1583945273</v>
      </c>
      <c r="J9" s="32"/>
      <c r="K9" s="32"/>
    </row>
    <row r="10" spans="1:19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9" ht="16.5" customHeight="1">
      <c r="A11" s="5" t="s">
        <v>25</v>
      </c>
      <c r="B11" s="19">
        <f t="shared" ref="B11:B17" si="2">MIN(D11:AZ11)</f>
        <v>551250000</v>
      </c>
      <c r="C11" s="20">
        <f t="shared" ref="C11:C17" si="3">MAX(D11:AZ11)</f>
        <v>3150000000</v>
      </c>
      <c r="D11" s="19">
        <v>2205000000</v>
      </c>
      <c r="E11" s="32">
        <v>2756250000</v>
      </c>
      <c r="F11" s="32">
        <v>711134520</v>
      </c>
      <c r="G11" s="32">
        <v>551250000</v>
      </c>
      <c r="H11" s="32">
        <v>551250000</v>
      </c>
      <c r="I11" s="32">
        <v>3150000000</v>
      </c>
      <c r="J11" s="32"/>
      <c r="K11" s="32"/>
    </row>
    <row r="12" spans="1:19" ht="16.5" customHeight="1">
      <c r="A12" s="3" t="s">
        <v>26</v>
      </c>
      <c r="B12" s="19">
        <f t="shared" si="2"/>
        <v>525000000</v>
      </c>
      <c r="C12" s="20">
        <f t="shared" si="3"/>
        <v>2625000000</v>
      </c>
      <c r="D12" s="19">
        <v>525000000</v>
      </c>
      <c r="E12" s="32">
        <v>670000000</v>
      </c>
      <c r="F12" s="32">
        <v>2625000000</v>
      </c>
      <c r="G12" s="32">
        <v>1914422343</v>
      </c>
      <c r="H12" s="32">
        <v>718342527</v>
      </c>
      <c r="I12" s="32">
        <v>620531284</v>
      </c>
      <c r="J12" s="32">
        <v>1000000000</v>
      </c>
      <c r="K12" s="32"/>
    </row>
    <row r="13" spans="1:19" ht="16.5" customHeight="1">
      <c r="A13" s="3" t="s">
        <v>27</v>
      </c>
      <c r="B13" s="19">
        <f t="shared" si="2"/>
        <v>600000000</v>
      </c>
      <c r="C13" s="20">
        <f t="shared" si="3"/>
        <v>2205000000</v>
      </c>
      <c r="D13" s="19">
        <v>600000000</v>
      </c>
      <c r="E13" s="32">
        <v>1102500000</v>
      </c>
      <c r="F13" s="32">
        <v>1102500000</v>
      </c>
      <c r="G13" s="32">
        <v>1157625000</v>
      </c>
      <c r="H13" s="32">
        <v>1215506250</v>
      </c>
      <c r="I13" s="32">
        <v>1181964353</v>
      </c>
      <c r="J13" s="32">
        <v>1340095640</v>
      </c>
      <c r="K13" s="32">
        <v>1276281562</v>
      </c>
      <c r="L13">
        <v>1200000000</v>
      </c>
      <c r="M13">
        <v>1466005160</v>
      </c>
      <c r="N13">
        <v>2205000000</v>
      </c>
      <c r="O13">
        <v>1000637680</v>
      </c>
      <c r="P13">
        <v>630000000</v>
      </c>
    </row>
    <row r="14" spans="1:19" ht="16.5" customHeight="1">
      <c r="A14" s="3" t="s">
        <v>28</v>
      </c>
      <c r="B14" s="19">
        <f t="shared" si="2"/>
        <v>140710041</v>
      </c>
      <c r="C14" s="20">
        <f t="shared" si="3"/>
        <v>1215506250</v>
      </c>
      <c r="D14" s="19">
        <v>703550211</v>
      </c>
      <c r="E14" s="32">
        <v>765768937</v>
      </c>
      <c r="F14" s="32">
        <v>1215506250</v>
      </c>
      <c r="G14" s="32">
        <v>240661916</v>
      </c>
      <c r="H14" s="32">
        <v>700000000</v>
      </c>
      <c r="I14" s="32">
        <v>565694738</v>
      </c>
      <c r="J14" s="32">
        <v>525000000</v>
      </c>
      <c r="K14" s="32">
        <v>989965796</v>
      </c>
      <c r="L14">
        <v>1155000000</v>
      </c>
      <c r="M14">
        <v>140710041</v>
      </c>
    </row>
    <row r="15" spans="1:19" ht="16.5" customHeight="1">
      <c r="A15" s="3" t="s">
        <v>29</v>
      </c>
      <c r="B15" s="19">
        <f t="shared" si="2"/>
        <v>36465187</v>
      </c>
      <c r="C15" s="20">
        <f t="shared" si="3"/>
        <v>136500000</v>
      </c>
      <c r="D15" s="19">
        <v>36465187</v>
      </c>
      <c r="E15" s="32">
        <v>136500000</v>
      </c>
      <c r="F15" s="32">
        <v>136500000</v>
      </c>
      <c r="G15" s="32">
        <v>36465187</v>
      </c>
      <c r="H15" s="32"/>
      <c r="I15" s="32"/>
      <c r="J15" s="32"/>
      <c r="K15" s="32"/>
    </row>
    <row r="16" spans="1:19" ht="16.5" customHeight="1">
      <c r="A16" s="3" t="s">
        <v>30</v>
      </c>
      <c r="B16" s="19">
        <f t="shared" si="2"/>
        <v>15000000</v>
      </c>
      <c r="C16" s="20">
        <f t="shared" si="3"/>
        <v>330750000</v>
      </c>
      <c r="D16" s="19">
        <v>100000000</v>
      </c>
      <c r="E16" s="32">
        <v>15000000</v>
      </c>
      <c r="F16" s="32">
        <v>105000000</v>
      </c>
      <c r="G16" s="32">
        <v>330750000</v>
      </c>
      <c r="H16" s="32">
        <v>100000000</v>
      </c>
      <c r="I16" s="32">
        <v>26250000</v>
      </c>
      <c r="J16" s="32"/>
      <c r="K16" s="32"/>
    </row>
    <row r="17" spans="1:12" ht="16.5" customHeight="1">
      <c r="A17" s="3" t="s">
        <v>31</v>
      </c>
      <c r="B17" s="19">
        <f t="shared" si="2"/>
        <v>400000000</v>
      </c>
      <c r="C17" s="20">
        <f t="shared" si="3"/>
        <v>3257789252</v>
      </c>
      <c r="D17" s="19">
        <v>864388452</v>
      </c>
      <c r="E17" s="32">
        <v>800000000</v>
      </c>
      <c r="F17" s="32">
        <v>638140781</v>
      </c>
      <c r="G17" s="32">
        <v>945000000</v>
      </c>
      <c r="H17" s="32">
        <v>1500000000</v>
      </c>
      <c r="I17" s="32">
        <v>3257789252</v>
      </c>
      <c r="J17" s="32">
        <v>400000000</v>
      </c>
      <c r="K17" s="32">
        <v>926100000</v>
      </c>
      <c r="L17">
        <v>926100000</v>
      </c>
    </row>
    <row r="18" spans="1:12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2" ht="16.5" customHeight="1">
      <c r="A19" s="3" t="s">
        <v>33</v>
      </c>
      <c r="B19" s="19">
        <f t="shared" ref="B19:B25" si="4">MIN(D19:AZ19)</f>
        <v>18573083924</v>
      </c>
      <c r="C19" s="20">
        <f t="shared" ref="C19:C25" si="5">MAX(D19:AZ19)</f>
        <v>26532977040</v>
      </c>
      <c r="D19" s="19">
        <v>26532977040</v>
      </c>
      <c r="E19" s="32">
        <v>18573083924</v>
      </c>
      <c r="F19" s="32"/>
      <c r="G19" s="32"/>
      <c r="H19" s="32"/>
      <c r="I19" s="32"/>
      <c r="J19" s="32"/>
      <c r="K19" s="32"/>
    </row>
    <row r="20" spans="1:12" ht="16.5" customHeight="1">
      <c r="A20" s="3" t="s">
        <v>34</v>
      </c>
      <c r="B20" s="19">
        <f t="shared" si="4"/>
        <v>0</v>
      </c>
      <c r="C20" s="20">
        <f t="shared" si="5"/>
        <v>0</v>
      </c>
      <c r="D20" s="19"/>
      <c r="E20" s="32"/>
      <c r="F20" s="32"/>
      <c r="G20" s="32"/>
      <c r="H20" s="32"/>
      <c r="I20" s="32"/>
      <c r="J20" s="32"/>
      <c r="K20" s="32"/>
    </row>
    <row r="21" spans="1:12" ht="16.5" customHeight="1">
      <c r="A21" s="3" t="s">
        <v>35</v>
      </c>
      <c r="B21" s="19">
        <f t="shared" si="4"/>
        <v>4190331415</v>
      </c>
      <c r="C21" s="20">
        <f t="shared" si="5"/>
        <v>4190331415</v>
      </c>
      <c r="D21" s="19">
        <v>4190331415</v>
      </c>
      <c r="E21" s="32"/>
      <c r="F21" s="32"/>
      <c r="G21" s="32"/>
      <c r="H21" s="32"/>
      <c r="I21" s="32"/>
      <c r="J21" s="32"/>
      <c r="K21" s="32"/>
    </row>
    <row r="22" spans="1:12" ht="16.5" customHeight="1">
      <c r="A22" s="3" t="s">
        <v>36</v>
      </c>
      <c r="B22" s="19">
        <f t="shared" si="4"/>
        <v>2814200845</v>
      </c>
      <c r="C22" s="20">
        <f t="shared" si="5"/>
        <v>3000000000</v>
      </c>
      <c r="D22" s="19">
        <v>3000000000</v>
      </c>
      <c r="E22" s="32">
        <v>2814200845</v>
      </c>
      <c r="F22" s="32"/>
      <c r="G22" s="32"/>
      <c r="H22" s="32"/>
      <c r="I22" s="32"/>
      <c r="J22" s="32"/>
      <c r="K22" s="32"/>
    </row>
    <row r="23" spans="1:12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2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2" ht="16.5" customHeight="1">
      <c r="A25" s="3" t="s">
        <v>39</v>
      </c>
      <c r="B25" s="19">
        <f t="shared" si="4"/>
        <v>1575000000</v>
      </c>
      <c r="C25" s="20">
        <f t="shared" si="5"/>
        <v>1575000000</v>
      </c>
      <c r="D25" s="19">
        <v>1575000000</v>
      </c>
      <c r="E25" s="32"/>
      <c r="F25" s="32"/>
      <c r="G25" s="32"/>
      <c r="H25" s="32"/>
      <c r="I25" s="32"/>
      <c r="J25" s="32"/>
      <c r="K25" s="32"/>
    </row>
    <row r="26" spans="1:12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2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2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2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2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2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2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150000000</v>
      </c>
      <c r="C41" s="20">
        <f t="shared" si="9"/>
        <v>3307500000</v>
      </c>
      <c r="D41" s="19">
        <v>3307500000</v>
      </c>
      <c r="E41" s="32">
        <v>150000000</v>
      </c>
      <c r="F41" s="32">
        <v>3307500000</v>
      </c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78"/>
  <sheetViews>
    <sheetView topLeftCell="A16" zoomScale="85" zoomScaleNormal="85" workbookViewId="0">
      <selection activeCell="G2" sqref="G2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</cols>
  <sheetData>
    <row r="1" spans="1:11">
      <c r="B1" t="s">
        <v>1</v>
      </c>
      <c r="C1" s="4" t="s">
        <v>2</v>
      </c>
      <c r="D1" s="15" t="s">
        <v>58</v>
      </c>
      <c r="E1" s="28" t="s">
        <v>59</v>
      </c>
      <c r="F1" s="16"/>
      <c r="H1"/>
      <c r="I1" s="16"/>
      <c r="J1" s="17"/>
      <c r="K1" s="16"/>
    </row>
    <row r="2" spans="1:11" ht="16.5" customHeight="1">
      <c r="A2" s="1" t="s">
        <v>7</v>
      </c>
      <c r="B2" s="8" t="s">
        <v>8</v>
      </c>
      <c r="C2" s="9" t="s">
        <v>8</v>
      </c>
      <c r="D2" s="29">
        <v>46291</v>
      </c>
      <c r="E2" s="30">
        <v>10000000</v>
      </c>
    </row>
    <row r="3" spans="1:11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1" ht="16.5" customHeight="1">
      <c r="A4" s="3" t="s">
        <v>18</v>
      </c>
      <c r="B4" s="19">
        <f t="shared" ref="B4:B9" si="0">MIN(D4:AZ4)</f>
        <v>607753125</v>
      </c>
      <c r="C4" s="20">
        <f t="shared" ref="C4:C9" si="1">MAX(D4:AZ4)</f>
        <v>1276281562</v>
      </c>
      <c r="D4" s="21">
        <v>607753125</v>
      </c>
      <c r="E4" s="32">
        <v>840000000</v>
      </c>
      <c r="F4" s="32">
        <v>804057383</v>
      </c>
      <c r="G4" s="32">
        <v>1000000000</v>
      </c>
      <c r="H4" s="32">
        <v>738727721</v>
      </c>
      <c r="I4" s="32">
        <v>1276281562</v>
      </c>
      <c r="J4" s="32"/>
      <c r="K4" s="32"/>
    </row>
    <row r="5" spans="1:11" ht="16.5" customHeight="1">
      <c r="A5" s="3" t="s">
        <v>19</v>
      </c>
      <c r="B5" s="19">
        <f t="shared" si="0"/>
        <v>1039464085</v>
      </c>
      <c r="C5" s="20">
        <f t="shared" si="1"/>
        <v>1039464085</v>
      </c>
      <c r="D5" s="19">
        <v>1039464085</v>
      </c>
      <c r="E5" s="32"/>
      <c r="F5" s="32"/>
      <c r="G5" s="32"/>
      <c r="H5" s="32"/>
      <c r="I5" s="32"/>
      <c r="J5" s="32"/>
      <c r="K5" s="32"/>
    </row>
    <row r="6" spans="1:11" ht="16.5" customHeight="1">
      <c r="A6" s="3" t="s">
        <v>20</v>
      </c>
      <c r="B6" s="19">
        <f t="shared" si="0"/>
        <v>281420083</v>
      </c>
      <c r="C6" s="20">
        <f t="shared" si="1"/>
        <v>893397093</v>
      </c>
      <c r="D6" s="19">
        <v>661500000</v>
      </c>
      <c r="E6" s="32">
        <v>281420083</v>
      </c>
      <c r="F6" s="32">
        <v>893397093</v>
      </c>
      <c r="G6" s="32"/>
      <c r="H6" s="32"/>
      <c r="I6" s="32"/>
      <c r="J6" s="32"/>
      <c r="K6" s="32"/>
    </row>
    <row r="7" spans="1:11" ht="16.5" customHeight="1">
      <c r="A7" s="3" t="s">
        <v>21</v>
      </c>
      <c r="B7" s="19">
        <f t="shared" si="0"/>
        <v>252000000</v>
      </c>
      <c r="C7" s="20">
        <f t="shared" si="1"/>
        <v>252000000</v>
      </c>
      <c r="D7" s="19">
        <v>252000000</v>
      </c>
      <c r="E7" s="32"/>
      <c r="F7" s="32"/>
      <c r="G7" s="32"/>
      <c r="H7" s="32"/>
      <c r="I7" s="32"/>
      <c r="J7" s="32"/>
      <c r="K7" s="32"/>
    </row>
    <row r="8" spans="1:11" ht="16.5" customHeight="1">
      <c r="A8" s="3" t="s">
        <v>22</v>
      </c>
      <c r="B8" s="19">
        <f t="shared" si="0"/>
        <v>0</v>
      </c>
      <c r="C8" s="20">
        <f t="shared" si="1"/>
        <v>0</v>
      </c>
      <c r="D8" s="19"/>
      <c r="E8" s="32"/>
      <c r="F8" s="32"/>
      <c r="G8" s="32"/>
      <c r="H8" s="32"/>
      <c r="I8" s="32"/>
      <c r="J8" s="32"/>
      <c r="K8" s="32"/>
    </row>
    <row r="9" spans="1:11" ht="16.5" customHeight="1">
      <c r="A9" s="3" t="s">
        <v>23</v>
      </c>
      <c r="B9" s="19">
        <f t="shared" si="0"/>
        <v>422130125</v>
      </c>
      <c r="C9" s="20">
        <f t="shared" si="1"/>
        <v>1100000000</v>
      </c>
      <c r="D9" s="19">
        <v>422130125</v>
      </c>
      <c r="E9" s="32">
        <v>1100000000</v>
      </c>
      <c r="F9" s="32"/>
      <c r="G9" s="32"/>
      <c r="H9" s="32"/>
      <c r="I9" s="32"/>
      <c r="J9" s="32"/>
      <c r="K9" s="32"/>
    </row>
    <row r="10" spans="1:11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1" ht="16.5" customHeight="1">
      <c r="A11" s="5" t="s">
        <v>25</v>
      </c>
      <c r="B11" s="19">
        <f t="shared" ref="B11:B17" si="2">MIN(D11:AZ11)</f>
        <v>2205000000</v>
      </c>
      <c r="C11" s="20">
        <f t="shared" ref="C11:C17" si="3">MAX(D11:AZ11)</f>
        <v>2205000000</v>
      </c>
      <c r="D11" s="19">
        <v>2205000000</v>
      </c>
      <c r="E11" s="32"/>
      <c r="F11" s="32"/>
      <c r="G11" s="32"/>
      <c r="H11" s="32"/>
      <c r="I11" s="32"/>
      <c r="J11" s="32"/>
      <c r="K11" s="32"/>
    </row>
    <row r="12" spans="1:11" ht="16.5" customHeight="1">
      <c r="A12" s="3" t="s">
        <v>26</v>
      </c>
      <c r="B12" s="19">
        <f t="shared" si="2"/>
        <v>525000000</v>
      </c>
      <c r="C12" s="20">
        <f t="shared" si="3"/>
        <v>670000000</v>
      </c>
      <c r="D12" s="19">
        <v>525000000</v>
      </c>
      <c r="E12" s="32">
        <v>670000000</v>
      </c>
      <c r="F12" s="32"/>
      <c r="G12" s="32"/>
      <c r="H12" s="32"/>
      <c r="I12" s="32"/>
      <c r="J12" s="32"/>
      <c r="K12" s="32"/>
    </row>
    <row r="13" spans="1:11" ht="16.5" customHeight="1">
      <c r="A13" s="3" t="s">
        <v>27</v>
      </c>
      <c r="B13" s="19">
        <f t="shared" si="2"/>
        <v>600000000</v>
      </c>
      <c r="C13" s="20">
        <f t="shared" si="3"/>
        <v>1215506250</v>
      </c>
      <c r="D13" s="19">
        <v>600000000</v>
      </c>
      <c r="E13" s="32">
        <v>1102500000</v>
      </c>
      <c r="F13" s="32">
        <v>1102500000</v>
      </c>
      <c r="G13" s="32">
        <v>1157625000</v>
      </c>
      <c r="H13" s="32">
        <v>1215506250</v>
      </c>
      <c r="I13" s="32"/>
      <c r="J13" s="32"/>
      <c r="K13" s="32"/>
    </row>
    <row r="14" spans="1:11" ht="16.5" customHeight="1">
      <c r="A14" s="3" t="s">
        <v>28</v>
      </c>
      <c r="B14" s="19">
        <f t="shared" si="2"/>
        <v>703550211</v>
      </c>
      <c r="C14" s="20">
        <f t="shared" si="3"/>
        <v>1215506250</v>
      </c>
      <c r="D14" s="19">
        <v>703550211</v>
      </c>
      <c r="E14" s="32">
        <v>765768937</v>
      </c>
      <c r="F14" s="32">
        <v>1215506250</v>
      </c>
      <c r="G14" s="32"/>
      <c r="H14" s="32"/>
      <c r="I14" s="32"/>
      <c r="J14" s="32"/>
      <c r="K14" s="32"/>
    </row>
    <row r="15" spans="1:11" ht="16.5" customHeight="1">
      <c r="A15" s="3" t="s">
        <v>29</v>
      </c>
      <c r="B15" s="19">
        <f t="shared" si="2"/>
        <v>0</v>
      </c>
      <c r="C15" s="20">
        <f t="shared" si="3"/>
        <v>0</v>
      </c>
      <c r="D15" s="19"/>
      <c r="E15" s="32"/>
      <c r="F15" s="32"/>
      <c r="G15" s="32"/>
      <c r="H15" s="32"/>
      <c r="I15" s="32"/>
      <c r="J15" s="32"/>
      <c r="K15" s="32"/>
    </row>
    <row r="16" spans="1:11" ht="16.5" customHeight="1">
      <c r="A16" s="3" t="s">
        <v>30</v>
      </c>
      <c r="B16" s="19">
        <f t="shared" si="2"/>
        <v>15000000</v>
      </c>
      <c r="C16" s="20">
        <f t="shared" si="3"/>
        <v>330750000</v>
      </c>
      <c r="D16" s="19">
        <v>100000000</v>
      </c>
      <c r="E16" s="32">
        <v>15000000</v>
      </c>
      <c r="F16" s="32">
        <v>105000000</v>
      </c>
      <c r="G16" s="32">
        <v>330750000</v>
      </c>
      <c r="H16" s="32">
        <v>100000000</v>
      </c>
      <c r="I16" s="32">
        <v>26250000</v>
      </c>
      <c r="J16" s="32"/>
      <c r="K16" s="32"/>
    </row>
    <row r="17" spans="1:11" ht="16.5" customHeight="1">
      <c r="A17" s="3" t="s">
        <v>31</v>
      </c>
      <c r="B17" s="19">
        <f t="shared" si="2"/>
        <v>864388452</v>
      </c>
      <c r="C17" s="20">
        <f t="shared" si="3"/>
        <v>864388452</v>
      </c>
      <c r="D17" s="19">
        <v>864388452</v>
      </c>
      <c r="E17" s="32"/>
      <c r="F17" s="32"/>
      <c r="G17" s="32"/>
      <c r="H17" s="32"/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18573083924</v>
      </c>
      <c r="C19" s="20">
        <f t="shared" ref="C19:C25" si="5">MAX(D19:AZ19)</f>
        <v>26532977040</v>
      </c>
      <c r="D19" s="19">
        <v>26532977040</v>
      </c>
      <c r="E19" s="32">
        <v>18573083924</v>
      </c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0</v>
      </c>
      <c r="C20" s="20">
        <f t="shared" si="5"/>
        <v>0</v>
      </c>
      <c r="D20" s="19"/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0</v>
      </c>
      <c r="C21" s="20">
        <f t="shared" si="5"/>
        <v>0</v>
      </c>
      <c r="D21" s="19"/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3000000000</v>
      </c>
      <c r="C22" s="20">
        <f t="shared" si="5"/>
        <v>3000000000</v>
      </c>
      <c r="D22" s="19">
        <v>3000000000</v>
      </c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1575000000</v>
      </c>
      <c r="C25" s="20">
        <f t="shared" si="5"/>
        <v>1575000000</v>
      </c>
      <c r="D25" s="19">
        <v>1575000000</v>
      </c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150000000</v>
      </c>
      <c r="C41" s="20">
        <f t="shared" si="9"/>
        <v>3307500000</v>
      </c>
      <c r="D41" s="19">
        <v>3307500000</v>
      </c>
      <c r="E41" s="32">
        <v>150000000</v>
      </c>
      <c r="F41" s="32">
        <v>3307500000</v>
      </c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78"/>
  <sheetViews>
    <sheetView workbookViewId="0"/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</cols>
  <sheetData>
    <row r="1" spans="1:18">
      <c r="B1" t="s">
        <v>1</v>
      </c>
      <c r="C1" s="4" t="s">
        <v>2</v>
      </c>
      <c r="D1" s="15" t="s">
        <v>58</v>
      </c>
      <c r="E1" s="28" t="s">
        <v>59</v>
      </c>
      <c r="F1" s="16"/>
      <c r="H1"/>
      <c r="I1" s="16"/>
      <c r="J1" s="17"/>
      <c r="K1" s="16"/>
    </row>
    <row r="2" spans="1:18" ht="16.5" customHeight="1">
      <c r="A2" s="1" t="s">
        <v>7</v>
      </c>
      <c r="B2" s="8" t="s">
        <v>8</v>
      </c>
      <c r="C2" s="9" t="s">
        <v>8</v>
      </c>
      <c r="D2" s="29">
        <v>46295</v>
      </c>
      <c r="E2" s="30">
        <v>10000000</v>
      </c>
    </row>
    <row r="3" spans="1:18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8" ht="16.5" customHeight="1">
      <c r="A4" s="3" t="s">
        <v>18</v>
      </c>
      <c r="B4" s="19">
        <f t="shared" ref="B4:B9" si="0">MIN(D4:AZ4)</f>
        <v>100000000</v>
      </c>
      <c r="C4" s="20">
        <f t="shared" ref="C4:C9" si="1">MAX(D4:AZ4)</f>
        <v>1736437500</v>
      </c>
      <c r="D4" s="21">
        <v>1736437500</v>
      </c>
      <c r="E4" s="32">
        <v>926100000</v>
      </c>
      <c r="F4" s="32">
        <v>840000000</v>
      </c>
      <c r="G4" s="32">
        <v>525000000</v>
      </c>
      <c r="H4" s="32">
        <v>292526061</v>
      </c>
      <c r="I4" s="32">
        <v>100000000</v>
      </c>
      <c r="J4" s="32">
        <v>630000000</v>
      </c>
      <c r="K4" s="32">
        <v>765768937</v>
      </c>
      <c r="L4">
        <v>347287500</v>
      </c>
      <c r="M4">
        <v>942824568</v>
      </c>
    </row>
    <row r="5" spans="1:18" ht="16.5" customHeight="1">
      <c r="A5" s="3" t="s">
        <v>19</v>
      </c>
      <c r="B5" s="19">
        <f t="shared" si="0"/>
        <v>121550625</v>
      </c>
      <c r="C5" s="20">
        <f t="shared" si="1"/>
        <v>513781804</v>
      </c>
      <c r="D5" s="19">
        <v>121550625</v>
      </c>
      <c r="E5" s="32">
        <v>513781804</v>
      </c>
      <c r="F5" s="32"/>
      <c r="G5" s="32"/>
      <c r="H5" s="32"/>
      <c r="I5" s="32"/>
      <c r="J5" s="32"/>
      <c r="K5" s="32"/>
    </row>
    <row r="6" spans="1:18" ht="16.5" customHeight="1">
      <c r="A6" s="3" t="s">
        <v>20</v>
      </c>
      <c r="B6" s="19">
        <f t="shared" si="0"/>
        <v>315000000</v>
      </c>
      <c r="C6" s="20">
        <f t="shared" si="1"/>
        <v>814447312</v>
      </c>
      <c r="D6" s="19">
        <v>752456250</v>
      </c>
      <c r="E6" s="32">
        <v>752456250</v>
      </c>
      <c r="F6" s="32">
        <v>814447312</v>
      </c>
      <c r="G6" s="32">
        <v>703550211</v>
      </c>
      <c r="H6" s="32">
        <v>315000000</v>
      </c>
      <c r="I6" s="32"/>
      <c r="J6" s="32"/>
      <c r="K6" s="32"/>
    </row>
    <row r="7" spans="1:18" ht="16.5" customHeight="1">
      <c r="A7" s="3" t="s">
        <v>21</v>
      </c>
      <c r="B7" s="19">
        <f t="shared" si="0"/>
        <v>52500000</v>
      </c>
      <c r="C7" s="20">
        <f t="shared" si="1"/>
        <v>231525000</v>
      </c>
      <c r="D7" s="19">
        <v>52500000</v>
      </c>
      <c r="E7" s="32">
        <v>231525000</v>
      </c>
      <c r="F7" s="32">
        <v>115762500</v>
      </c>
      <c r="G7" s="32"/>
      <c r="H7" s="32"/>
      <c r="I7" s="32"/>
      <c r="J7" s="32"/>
      <c r="K7" s="32"/>
    </row>
    <row r="8" spans="1:18" ht="16.5" customHeight="1">
      <c r="A8" s="3" t="s">
        <v>22</v>
      </c>
      <c r="B8" s="19">
        <f t="shared" si="0"/>
        <v>11025000</v>
      </c>
      <c r="C8" s="20">
        <f t="shared" si="1"/>
        <v>231525000</v>
      </c>
      <c r="D8" s="19">
        <v>15513279</v>
      </c>
      <c r="E8" s="32">
        <v>231525000</v>
      </c>
      <c r="F8" s="32">
        <v>17103389</v>
      </c>
      <c r="G8" s="32">
        <v>32250982</v>
      </c>
      <c r="H8" s="32">
        <v>60000000</v>
      </c>
      <c r="I8" s="32">
        <v>20789274</v>
      </c>
      <c r="J8" s="32">
        <v>50000000</v>
      </c>
      <c r="K8" s="32">
        <v>26594196</v>
      </c>
      <c r="L8">
        <v>26250000</v>
      </c>
      <c r="M8">
        <v>136500000</v>
      </c>
      <c r="N8">
        <v>11025000</v>
      </c>
      <c r="O8">
        <v>13400955</v>
      </c>
      <c r="P8">
        <v>11576250</v>
      </c>
      <c r="Q8">
        <v>100000000</v>
      </c>
      <c r="R8">
        <v>12249999</v>
      </c>
    </row>
    <row r="9" spans="1:18" ht="16.5" customHeight="1">
      <c r="A9" s="3" t="s">
        <v>23</v>
      </c>
      <c r="B9" s="19">
        <f t="shared" si="0"/>
        <v>630000000</v>
      </c>
      <c r="C9" s="20">
        <f t="shared" si="1"/>
        <v>1583945273</v>
      </c>
      <c r="D9" s="19">
        <v>1000000000</v>
      </c>
      <c r="E9" s="32">
        <v>630000000</v>
      </c>
      <c r="F9" s="32">
        <v>630000000</v>
      </c>
      <c r="G9" s="32">
        <v>1583945273</v>
      </c>
      <c r="H9" s="32"/>
      <c r="I9" s="32"/>
      <c r="J9" s="32"/>
      <c r="K9" s="32"/>
    </row>
    <row r="10" spans="1:18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8" ht="16.5" customHeight="1">
      <c r="A11" s="5" t="s">
        <v>25</v>
      </c>
      <c r="B11" s="19">
        <f t="shared" ref="B11:B17" si="2">MIN(D11:AZ11)</f>
        <v>551250000</v>
      </c>
      <c r="C11" s="20">
        <f t="shared" ref="C11:C17" si="3">MAX(D11:AZ11)</f>
        <v>3150000000</v>
      </c>
      <c r="D11" s="19">
        <v>2756250000</v>
      </c>
      <c r="E11" s="32">
        <v>711134520</v>
      </c>
      <c r="F11" s="32">
        <v>551250000</v>
      </c>
      <c r="G11" s="32">
        <v>551250000</v>
      </c>
      <c r="H11" s="32">
        <v>3150000000</v>
      </c>
      <c r="I11" s="32"/>
      <c r="J11" s="32"/>
      <c r="K11" s="32"/>
    </row>
    <row r="12" spans="1:18" ht="16.5" customHeight="1">
      <c r="A12" s="3" t="s">
        <v>26</v>
      </c>
      <c r="B12" s="19">
        <f t="shared" si="2"/>
        <v>620531284</v>
      </c>
      <c r="C12" s="20">
        <f t="shared" si="3"/>
        <v>2625000000</v>
      </c>
      <c r="D12" s="19">
        <v>2625000000</v>
      </c>
      <c r="E12" s="32">
        <v>1914422343</v>
      </c>
      <c r="F12" s="32">
        <v>718342527</v>
      </c>
      <c r="G12" s="32">
        <v>620531284</v>
      </c>
      <c r="H12" s="32">
        <v>1000000000</v>
      </c>
      <c r="I12" s="32"/>
      <c r="J12" s="32"/>
      <c r="K12" s="32"/>
    </row>
    <row r="13" spans="1:18" ht="16.5" customHeight="1">
      <c r="A13" s="3" t="s">
        <v>27</v>
      </c>
      <c r="B13" s="19">
        <f t="shared" si="2"/>
        <v>630000000</v>
      </c>
      <c r="C13" s="20">
        <f t="shared" si="3"/>
        <v>2205000000</v>
      </c>
      <c r="D13" s="19">
        <v>1181964353</v>
      </c>
      <c r="E13" s="32">
        <v>1340095640</v>
      </c>
      <c r="F13" s="32">
        <v>1276281562</v>
      </c>
      <c r="G13" s="32">
        <v>1200000000</v>
      </c>
      <c r="H13" s="32">
        <v>1466005160</v>
      </c>
      <c r="I13" s="32">
        <v>2205000000</v>
      </c>
      <c r="J13" s="32">
        <v>1000637680</v>
      </c>
      <c r="K13" s="32">
        <v>630000000</v>
      </c>
    </row>
    <row r="14" spans="1:18" ht="16.5" customHeight="1">
      <c r="A14" s="3" t="s">
        <v>28</v>
      </c>
      <c r="B14" s="19">
        <f t="shared" si="2"/>
        <v>140710041</v>
      </c>
      <c r="C14" s="20">
        <f t="shared" si="3"/>
        <v>1155000000</v>
      </c>
      <c r="D14" s="19">
        <v>240661916</v>
      </c>
      <c r="E14" s="32">
        <v>700000000</v>
      </c>
      <c r="F14" s="32">
        <v>565694738</v>
      </c>
      <c r="G14" s="32">
        <v>525000000</v>
      </c>
      <c r="H14" s="32">
        <v>989965796</v>
      </c>
      <c r="I14" s="32">
        <v>1155000000</v>
      </c>
      <c r="J14" s="32">
        <v>140710041</v>
      </c>
      <c r="K14" s="32"/>
    </row>
    <row r="15" spans="1:18" ht="16.5" customHeight="1">
      <c r="A15" s="3" t="s">
        <v>29</v>
      </c>
      <c r="B15" s="19">
        <f t="shared" si="2"/>
        <v>36465187</v>
      </c>
      <c r="C15" s="20">
        <f t="shared" si="3"/>
        <v>136500000</v>
      </c>
      <c r="D15" s="19">
        <v>36465187</v>
      </c>
      <c r="E15" s="32">
        <v>136500000</v>
      </c>
      <c r="F15" s="32">
        <v>136500000</v>
      </c>
      <c r="G15" s="32">
        <v>36465187</v>
      </c>
      <c r="H15" s="32"/>
      <c r="I15" s="32"/>
      <c r="J15" s="32"/>
      <c r="K15" s="32"/>
    </row>
    <row r="16" spans="1:18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400000000</v>
      </c>
      <c r="C17" s="20">
        <f t="shared" si="3"/>
        <v>3257789252</v>
      </c>
      <c r="D17" s="19">
        <v>800000000</v>
      </c>
      <c r="E17" s="32">
        <v>638140781</v>
      </c>
      <c r="F17" s="32">
        <v>945000000</v>
      </c>
      <c r="G17" s="32">
        <v>1500000000</v>
      </c>
      <c r="H17" s="32">
        <v>3257789252</v>
      </c>
      <c r="I17" s="32">
        <v>400000000</v>
      </c>
      <c r="J17" s="32">
        <v>926100000</v>
      </c>
      <c r="K17" s="32">
        <v>926100000</v>
      </c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0</v>
      </c>
      <c r="C19" s="20">
        <f t="shared" ref="C19:C25" si="5">MAX(D19:AZ19)</f>
        <v>0</v>
      </c>
      <c r="D19" s="19"/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0</v>
      </c>
      <c r="C20" s="20">
        <f t="shared" si="5"/>
        <v>0</v>
      </c>
      <c r="D20" s="19"/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4190331415</v>
      </c>
      <c r="C21" s="20">
        <f t="shared" si="5"/>
        <v>4190331415</v>
      </c>
      <c r="D21" s="19">
        <v>4190331415</v>
      </c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2814200845</v>
      </c>
      <c r="C22" s="20">
        <f t="shared" si="5"/>
        <v>2814200845</v>
      </c>
      <c r="D22" s="19">
        <v>2814200845</v>
      </c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0</v>
      </c>
      <c r="C25" s="20">
        <f t="shared" si="5"/>
        <v>0</v>
      </c>
      <c r="D25" s="19"/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78"/>
  <sheetViews>
    <sheetView workbookViewId="0">
      <selection activeCell="D12" sqref="D12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9.140625" style="7" customWidth="1"/>
    <col min="13" max="16384" width="9.140625" style="7"/>
  </cols>
  <sheetData>
    <row r="1" spans="1:11">
      <c r="B1" t="s">
        <v>1</v>
      </c>
      <c r="C1" s="4" t="s">
        <v>2</v>
      </c>
      <c r="D1" s="15" t="s">
        <v>58</v>
      </c>
      <c r="E1" s="28" t="s">
        <v>59</v>
      </c>
      <c r="F1" s="16"/>
      <c r="H1"/>
      <c r="I1" s="16"/>
      <c r="J1" s="17"/>
      <c r="K1" s="16"/>
    </row>
    <row r="2" spans="1:11" ht="16.5" customHeight="1">
      <c r="A2" s="1" t="s">
        <v>7</v>
      </c>
      <c r="B2" s="8" t="s">
        <v>8</v>
      </c>
      <c r="C2" s="9" t="s">
        <v>8</v>
      </c>
      <c r="D2" s="29">
        <v>46298</v>
      </c>
      <c r="E2" s="30">
        <v>9500000</v>
      </c>
    </row>
    <row r="3" spans="1:11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1" ht="16.5" customHeight="1">
      <c r="A4" s="3" t="s">
        <v>18</v>
      </c>
      <c r="B4" s="19">
        <f t="shared" ref="B4:B9" si="0">MIN(D4:AZ4)</f>
        <v>735000000</v>
      </c>
      <c r="C4" s="20">
        <f t="shared" ref="C4:C9" si="1">MAX(D4:AZ4)</f>
        <v>4022850652</v>
      </c>
      <c r="D4" s="21">
        <v>2000000000</v>
      </c>
      <c r="E4" s="32">
        <v>735000000</v>
      </c>
      <c r="F4" s="32">
        <v>4022850652</v>
      </c>
      <c r="G4" s="32"/>
      <c r="H4" s="32"/>
      <c r="I4" s="32"/>
      <c r="J4" s="32"/>
      <c r="K4" s="32"/>
    </row>
    <row r="5" spans="1:11" ht="16.5" customHeight="1">
      <c r="A5" s="3" t="s">
        <v>19</v>
      </c>
      <c r="B5" s="19">
        <f t="shared" si="0"/>
        <v>738727721</v>
      </c>
      <c r="C5" s="20">
        <f t="shared" si="1"/>
        <v>2000000000</v>
      </c>
      <c r="D5" s="19">
        <v>1000000000</v>
      </c>
      <c r="E5" s="32">
        <v>738727721</v>
      </c>
      <c r="F5" s="32">
        <v>942824568</v>
      </c>
      <c r="G5" s="32">
        <v>2000000000</v>
      </c>
      <c r="H5" s="32"/>
      <c r="I5" s="32"/>
      <c r="J5" s="32"/>
      <c r="K5" s="32"/>
    </row>
    <row r="6" spans="1:11" ht="16.5" customHeight="1">
      <c r="A6" s="3" t="s">
        <v>20</v>
      </c>
      <c r="B6" s="19">
        <f t="shared" si="0"/>
        <v>630000000</v>
      </c>
      <c r="C6" s="20">
        <f t="shared" si="1"/>
        <v>900000000</v>
      </c>
      <c r="D6" s="19">
        <v>775664107</v>
      </c>
      <c r="E6" s="32">
        <v>781722451</v>
      </c>
      <c r="F6" s="32">
        <v>893397093</v>
      </c>
      <c r="G6" s="32">
        <v>855169677</v>
      </c>
      <c r="H6" s="32">
        <v>900000000</v>
      </c>
      <c r="I6" s="32">
        <v>897928160</v>
      </c>
      <c r="J6" s="32">
        <v>630000000</v>
      </c>
      <c r="K6" s="32"/>
    </row>
    <row r="7" spans="1:11" ht="16.5" customHeight="1">
      <c r="A7" s="3" t="s">
        <v>21</v>
      </c>
      <c r="B7" s="19">
        <f t="shared" si="0"/>
        <v>105000000</v>
      </c>
      <c r="C7" s="20">
        <f t="shared" si="1"/>
        <v>651466662</v>
      </c>
      <c r="D7" s="19">
        <v>105000000</v>
      </c>
      <c r="E7" s="32">
        <v>651466662</v>
      </c>
      <c r="F7" s="32">
        <v>520063407</v>
      </c>
      <c r="G7" s="32">
        <v>110250000</v>
      </c>
      <c r="H7" s="32"/>
      <c r="I7" s="32"/>
      <c r="J7" s="32"/>
      <c r="K7" s="32"/>
    </row>
    <row r="8" spans="1:11" ht="16.5" customHeight="1">
      <c r="A8" s="3" t="s">
        <v>22</v>
      </c>
      <c r="B8" s="19">
        <f t="shared" si="0"/>
        <v>30000000</v>
      </c>
      <c r="C8" s="20">
        <f t="shared" si="1"/>
        <v>140000000</v>
      </c>
      <c r="D8" s="19">
        <v>100000000</v>
      </c>
      <c r="E8" s="32">
        <v>30000000</v>
      </c>
      <c r="F8" s="32">
        <v>30000000</v>
      </c>
      <c r="G8" s="32">
        <v>34728750</v>
      </c>
      <c r="H8" s="32">
        <v>140000000</v>
      </c>
      <c r="I8" s="32">
        <v>50000000</v>
      </c>
      <c r="J8" s="32">
        <v>105000000</v>
      </c>
      <c r="K8" s="32">
        <v>109143721</v>
      </c>
    </row>
    <row r="9" spans="1:11" ht="16.5" customHeight="1">
      <c r="A9" s="3" t="s">
        <v>23</v>
      </c>
      <c r="B9" s="19">
        <f t="shared" si="0"/>
        <v>1102500000</v>
      </c>
      <c r="C9" s="20">
        <f t="shared" si="1"/>
        <v>2000000000</v>
      </c>
      <c r="D9" s="19">
        <v>1102500000</v>
      </c>
      <c r="E9" s="32">
        <v>1276281562</v>
      </c>
      <c r="F9" s="32">
        <v>2000000000</v>
      </c>
      <c r="G9" s="32">
        <v>1365000000</v>
      </c>
      <c r="H9" s="32"/>
      <c r="I9" s="32"/>
      <c r="J9" s="32"/>
      <c r="K9" s="32"/>
    </row>
    <row r="10" spans="1:11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1" ht="16.5" customHeight="1">
      <c r="A11" s="5" t="s">
        <v>25</v>
      </c>
      <c r="B11" s="19">
        <f t="shared" ref="B11:B17" si="2">MIN(D11:AZ11)</f>
        <v>1050000000</v>
      </c>
      <c r="C11" s="20">
        <f t="shared" ref="C11:C17" si="3">MAX(D11:AZ11)</f>
        <v>3150000000</v>
      </c>
      <c r="D11" s="19">
        <v>2205000000</v>
      </c>
      <c r="E11" s="32">
        <v>1050000000</v>
      </c>
      <c r="F11" s="32">
        <v>3150000000</v>
      </c>
      <c r="G11" s="32"/>
      <c r="H11" s="32"/>
      <c r="I11" s="32"/>
      <c r="J11" s="32"/>
      <c r="K11" s="32"/>
    </row>
    <row r="12" spans="1:11" ht="16.5" customHeight="1">
      <c r="A12" s="3" t="s">
        <v>26</v>
      </c>
      <c r="B12" s="19">
        <f t="shared" si="2"/>
        <v>1260000000</v>
      </c>
      <c r="C12" s="20">
        <f t="shared" si="3"/>
        <v>2894062500</v>
      </c>
      <c r="D12" s="19">
        <v>2415000000</v>
      </c>
      <c r="E12" s="32">
        <v>1260000000</v>
      </c>
      <c r="F12" s="32">
        <v>2894062500</v>
      </c>
      <c r="G12" s="32"/>
      <c r="H12" s="32"/>
      <c r="I12" s="32"/>
      <c r="J12" s="32"/>
      <c r="K12" s="32"/>
    </row>
    <row r="13" spans="1:11" ht="16.5" customHeight="1">
      <c r="A13" s="3" t="s">
        <v>27</v>
      </c>
      <c r="B13" s="19">
        <f t="shared" si="2"/>
        <v>1234840658</v>
      </c>
      <c r="C13" s="20">
        <f t="shared" si="3"/>
        <v>3000000000</v>
      </c>
      <c r="D13" s="19">
        <v>1500000000</v>
      </c>
      <c r="E13" s="32">
        <v>1234840658</v>
      </c>
      <c r="F13" s="32">
        <v>3000000000</v>
      </c>
      <c r="G13" s="32">
        <v>1340095640</v>
      </c>
      <c r="H13" s="32"/>
      <c r="I13" s="32"/>
      <c r="J13" s="32"/>
      <c r="K13" s="32"/>
    </row>
    <row r="14" spans="1:11" ht="16.5" customHeight="1">
      <c r="A14" s="3" t="s">
        <v>28</v>
      </c>
      <c r="B14" s="19">
        <f t="shared" si="2"/>
        <v>800000000</v>
      </c>
      <c r="C14" s="20">
        <f t="shared" si="3"/>
        <v>984970294</v>
      </c>
      <c r="D14" s="19">
        <v>800000000</v>
      </c>
      <c r="E14" s="32">
        <v>984970294</v>
      </c>
      <c r="F14" s="32"/>
      <c r="G14" s="32"/>
      <c r="H14" s="32"/>
      <c r="I14" s="32"/>
      <c r="J14" s="32"/>
      <c r="K14" s="32"/>
    </row>
    <row r="15" spans="1:11" ht="16.5" customHeight="1">
      <c r="A15" s="3" t="s">
        <v>29</v>
      </c>
      <c r="B15" s="19">
        <f t="shared" si="2"/>
        <v>157500000</v>
      </c>
      <c r="C15" s="20">
        <f t="shared" si="3"/>
        <v>463050000</v>
      </c>
      <c r="D15" s="19">
        <v>157500000</v>
      </c>
      <c r="E15" s="32">
        <v>420000005</v>
      </c>
      <c r="F15" s="32">
        <v>463050000</v>
      </c>
      <c r="G15" s="32"/>
      <c r="H15" s="32"/>
      <c r="I15" s="32"/>
      <c r="J15" s="32"/>
      <c r="K15" s="32"/>
    </row>
    <row r="16" spans="1:11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2000000000</v>
      </c>
      <c r="C17" s="20">
        <f t="shared" si="3"/>
        <v>10000000000</v>
      </c>
      <c r="D17" s="19">
        <v>10000000000</v>
      </c>
      <c r="E17" s="32">
        <v>2000000000</v>
      </c>
      <c r="F17" s="32"/>
      <c r="G17" s="32"/>
      <c r="H17" s="32"/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22920183169</v>
      </c>
      <c r="C19" s="20">
        <f t="shared" ref="C19:C25" si="5">MAX(D19:AZ19)</f>
        <v>22920183169</v>
      </c>
      <c r="D19" s="19">
        <v>22920183169</v>
      </c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47141228553</v>
      </c>
      <c r="C20" s="20">
        <f t="shared" si="5"/>
        <v>47141228553</v>
      </c>
      <c r="D20" s="19">
        <v>47141228553</v>
      </c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0</v>
      </c>
      <c r="C21" s="20">
        <f t="shared" si="5"/>
        <v>0</v>
      </c>
      <c r="D21" s="19"/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5250000000</v>
      </c>
      <c r="C22" s="20">
        <f t="shared" si="5"/>
        <v>5250000000</v>
      </c>
      <c r="D22" s="19">
        <v>5250000000</v>
      </c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315000000</v>
      </c>
      <c r="C25" s="20">
        <f t="shared" si="5"/>
        <v>315000000</v>
      </c>
      <c r="D25" s="19">
        <v>315000000</v>
      </c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700000000</v>
      </c>
      <c r="C34" s="20">
        <f t="shared" si="7"/>
        <v>700000000</v>
      </c>
      <c r="D34" s="19">
        <v>700000000</v>
      </c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987DC-74A4-4421-A428-F4133664F24B}">
  <dimension ref="A1:M78"/>
  <sheetViews>
    <sheetView topLeftCell="A16" workbookViewId="0">
      <selection activeCell="J17" sqref="J17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16.140625" style="7" customWidth="1"/>
    <col min="13" max="13" width="15.42578125" style="7" bestFit="1" customWidth="1"/>
    <col min="14" max="16384" width="9.140625" style="7"/>
  </cols>
  <sheetData>
    <row r="1" spans="1:13">
      <c r="B1" s="7" t="s">
        <v>1</v>
      </c>
      <c r="C1" s="4" t="s">
        <v>2</v>
      </c>
      <c r="D1" s="15" t="s">
        <v>58</v>
      </c>
      <c r="E1" s="28" t="s">
        <v>59</v>
      </c>
      <c r="F1" s="16"/>
      <c r="H1" s="7"/>
      <c r="I1" s="16"/>
      <c r="J1" s="17"/>
      <c r="K1" s="16"/>
    </row>
    <row r="2" spans="1:13" ht="16.5" customHeight="1">
      <c r="A2" s="1" t="s">
        <v>7</v>
      </c>
      <c r="B2" s="8" t="s">
        <v>8</v>
      </c>
      <c r="C2" s="9" t="s">
        <v>8</v>
      </c>
      <c r="D2" s="29">
        <v>46302</v>
      </c>
      <c r="E2" s="30">
        <v>9500000</v>
      </c>
    </row>
    <row r="3" spans="1:13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3" ht="16.5" customHeight="1">
      <c r="A4" s="3" t="s">
        <v>18</v>
      </c>
      <c r="B4" s="19">
        <f t="shared" ref="B4:B9" si="0">MIN(D4:AZ4)</f>
        <v>300000000</v>
      </c>
      <c r="C4" s="20">
        <f t="shared" ref="C4:C9" si="1">MAX(D4:AZ4)</f>
        <v>2000000000</v>
      </c>
      <c r="D4" s="21">
        <v>777777777</v>
      </c>
      <c r="E4" s="32">
        <v>525000000</v>
      </c>
      <c r="F4" s="32">
        <v>1500000000</v>
      </c>
      <c r="G4" s="32">
        <v>2000000000</v>
      </c>
      <c r="H4" s="32">
        <v>300000000</v>
      </c>
      <c r="I4" s="32">
        <v>630000000</v>
      </c>
      <c r="J4" s="32"/>
      <c r="K4" s="32"/>
    </row>
    <row r="5" spans="1:13" ht="16.5" customHeight="1">
      <c r="A5" s="3" t="s">
        <v>19</v>
      </c>
      <c r="B5" s="19">
        <f t="shared" si="0"/>
        <v>300000000</v>
      </c>
      <c r="C5" s="20">
        <f t="shared" si="1"/>
        <v>2100000000</v>
      </c>
      <c r="D5" s="19">
        <v>765768937</v>
      </c>
      <c r="E5" s="32">
        <v>765768937</v>
      </c>
      <c r="F5" s="32">
        <v>2100000000</v>
      </c>
      <c r="G5" s="32">
        <v>795989301</v>
      </c>
      <c r="H5" s="32">
        <v>300000000</v>
      </c>
      <c r="I5" s="32"/>
      <c r="J5" s="32"/>
      <c r="K5" s="32"/>
    </row>
    <row r="6" spans="1:13" ht="16.5" customHeight="1">
      <c r="A6" s="3" t="s">
        <v>20</v>
      </c>
      <c r="B6" s="19">
        <f t="shared" si="0"/>
        <v>441000000</v>
      </c>
      <c r="C6" s="20">
        <f t="shared" si="1"/>
        <v>1005071729</v>
      </c>
      <c r="D6" s="19">
        <v>441000000</v>
      </c>
      <c r="E6" s="32">
        <v>1005071729</v>
      </c>
      <c r="F6" s="32">
        <v>838066268</v>
      </c>
      <c r="G6" s="32">
        <v>890000000</v>
      </c>
      <c r="H6" s="32"/>
      <c r="I6" s="32"/>
      <c r="J6" s="32"/>
      <c r="K6" s="32"/>
    </row>
    <row r="7" spans="1:13" ht="16.5" customHeight="1">
      <c r="A7" s="3" t="s">
        <v>21</v>
      </c>
      <c r="B7" s="19">
        <f t="shared" si="0"/>
        <v>36465187</v>
      </c>
      <c r="C7" s="20">
        <f t="shared" si="1"/>
        <v>711134520</v>
      </c>
      <c r="D7" s="19">
        <v>36465187</v>
      </c>
      <c r="E7" s="32">
        <v>200000000</v>
      </c>
      <c r="F7" s="32">
        <v>176400000</v>
      </c>
      <c r="G7" s="32">
        <v>268019127</v>
      </c>
      <c r="H7" s="32">
        <v>107207651</v>
      </c>
      <c r="I7" s="32">
        <v>115762500</v>
      </c>
      <c r="J7" s="32">
        <v>711134520</v>
      </c>
      <c r="K7" s="32">
        <v>205806755</v>
      </c>
    </row>
    <row r="8" spans="1:13" ht="16.5" customHeight="1">
      <c r="A8" s="3" t="s">
        <v>22</v>
      </c>
      <c r="B8" s="19">
        <f t="shared" si="0"/>
        <v>10000000</v>
      </c>
      <c r="C8" s="20">
        <f t="shared" si="1"/>
        <v>204768234</v>
      </c>
      <c r="D8" s="19">
        <v>10000000</v>
      </c>
      <c r="E8" s="32">
        <v>21106504</v>
      </c>
      <c r="F8" s="32">
        <v>31500000</v>
      </c>
      <c r="G8" s="32">
        <v>100000000</v>
      </c>
      <c r="H8" s="32">
        <v>200000000</v>
      </c>
      <c r="I8" s="32">
        <v>18995852</v>
      </c>
      <c r="J8" s="32">
        <v>10500000</v>
      </c>
      <c r="K8" s="32">
        <v>12023970</v>
      </c>
      <c r="L8" s="35">
        <v>204768234</v>
      </c>
      <c r="M8" s="35">
        <v>50000000</v>
      </c>
    </row>
    <row r="9" spans="1:13" ht="16.5" customHeight="1">
      <c r="A9" s="3" t="s">
        <v>23</v>
      </c>
      <c r="B9" s="19">
        <f t="shared" si="0"/>
        <v>402028691</v>
      </c>
      <c r="C9" s="20">
        <f t="shared" si="1"/>
        <v>3675000000</v>
      </c>
      <c r="D9" s="19">
        <v>3675000000</v>
      </c>
      <c r="E9" s="32">
        <v>3000000000</v>
      </c>
      <c r="F9" s="32">
        <v>2500000000</v>
      </c>
      <c r="G9" s="32">
        <v>2500000000</v>
      </c>
      <c r="H9" s="32">
        <v>402028691</v>
      </c>
      <c r="I9" s="32"/>
      <c r="J9" s="32"/>
      <c r="K9" s="32"/>
    </row>
    <row r="10" spans="1:13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3" ht="16.5" customHeight="1">
      <c r="A11" s="5" t="s">
        <v>25</v>
      </c>
      <c r="B11" s="19">
        <f t="shared" ref="B11:B17" si="2">MIN(D11:AZ11)</f>
        <v>551250000</v>
      </c>
      <c r="C11" s="20">
        <f t="shared" ref="C11:C17" si="3">MAX(D11:AZ11)</f>
        <v>2526950187</v>
      </c>
      <c r="D11" s="19">
        <v>900374997</v>
      </c>
      <c r="E11" s="32">
        <v>1551328215</v>
      </c>
      <c r="F11" s="32">
        <v>1365000000</v>
      </c>
      <c r="G11" s="32">
        <v>551250000</v>
      </c>
      <c r="H11" s="32">
        <v>2526950187</v>
      </c>
      <c r="I11" s="32"/>
      <c r="J11" s="32"/>
      <c r="K11" s="32"/>
    </row>
    <row r="12" spans="1:13" ht="16.5" customHeight="1">
      <c r="A12" s="3" t="s">
        <v>26</v>
      </c>
      <c r="B12" s="19">
        <f t="shared" si="2"/>
        <v>2881294894</v>
      </c>
      <c r="C12" s="20">
        <f t="shared" si="3"/>
        <v>3102656431</v>
      </c>
      <c r="D12" s="19">
        <v>3102656431</v>
      </c>
      <c r="E12" s="32">
        <v>2881294894</v>
      </c>
      <c r="F12" s="32"/>
      <c r="G12" s="32"/>
      <c r="H12" s="32"/>
      <c r="I12" s="32"/>
      <c r="J12" s="32"/>
      <c r="K12" s="32"/>
    </row>
    <row r="13" spans="1:13" ht="16.5" customHeight="1">
      <c r="A13" s="3" t="s">
        <v>27</v>
      </c>
      <c r="B13" s="19">
        <f t="shared" si="2"/>
        <v>1260000000</v>
      </c>
      <c r="C13" s="20">
        <f t="shared" si="3"/>
        <v>2000000000</v>
      </c>
      <c r="D13" s="19">
        <v>1260000000</v>
      </c>
      <c r="E13" s="32">
        <v>2000000000</v>
      </c>
      <c r="F13" s="32"/>
      <c r="G13" s="32"/>
      <c r="H13" s="32"/>
      <c r="I13" s="32"/>
      <c r="J13" s="32"/>
      <c r="K13" s="32"/>
    </row>
    <row r="14" spans="1:13" ht="16.5" customHeight="1">
      <c r="A14" s="3" t="s">
        <v>28</v>
      </c>
      <c r="B14" s="19">
        <f t="shared" si="2"/>
        <v>121550625</v>
      </c>
      <c r="C14" s="20">
        <f t="shared" si="3"/>
        <v>955301175</v>
      </c>
      <c r="D14" s="19">
        <v>717727500</v>
      </c>
      <c r="E14" s="32">
        <v>651557848</v>
      </c>
      <c r="F14" s="32">
        <v>121550625</v>
      </c>
      <c r="G14" s="32">
        <v>955301175</v>
      </c>
      <c r="H14" s="32"/>
      <c r="I14" s="32"/>
      <c r="J14" s="32"/>
      <c r="K14" s="32"/>
    </row>
    <row r="15" spans="1:13" ht="16.5" customHeight="1">
      <c r="A15" s="3" t="s">
        <v>29</v>
      </c>
      <c r="B15" s="19">
        <f t="shared" si="2"/>
        <v>42000000</v>
      </c>
      <c r="C15" s="20">
        <f t="shared" si="3"/>
        <v>525000000</v>
      </c>
      <c r="D15" s="19">
        <v>146999995</v>
      </c>
      <c r="E15" s="32">
        <v>127628156</v>
      </c>
      <c r="F15" s="32">
        <v>150000000</v>
      </c>
      <c r="G15" s="32">
        <v>42000000</v>
      </c>
      <c r="H15" s="32">
        <v>55125000</v>
      </c>
      <c r="I15" s="32">
        <v>525000000</v>
      </c>
      <c r="J15" s="32"/>
      <c r="K15" s="32"/>
    </row>
    <row r="16" spans="1:13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3150000000</v>
      </c>
      <c r="C17" s="20">
        <f t="shared" si="3"/>
        <v>7717500000</v>
      </c>
      <c r="D17" s="19">
        <v>7717500000</v>
      </c>
      <c r="E17" s="32">
        <v>4020286921</v>
      </c>
      <c r="F17" s="32">
        <v>4410000000</v>
      </c>
      <c r="G17" s="32">
        <v>3150000000</v>
      </c>
      <c r="H17" s="32">
        <v>7147412178</v>
      </c>
      <c r="I17" s="32">
        <v>4432366330</v>
      </c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25269501943</v>
      </c>
      <c r="C19" s="20">
        <f t="shared" ref="C19:C25" si="5">MAX(D19:AZ19)</f>
        <v>28284737128</v>
      </c>
      <c r="D19" s="19">
        <v>25269501943</v>
      </c>
      <c r="E19" s="32">
        <v>28284737128</v>
      </c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9450000000</v>
      </c>
      <c r="C20" s="20">
        <f t="shared" si="5"/>
        <v>9450000000</v>
      </c>
      <c r="D20" s="19">
        <v>9450000000</v>
      </c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0</v>
      </c>
      <c r="C21" s="20">
        <f t="shared" si="5"/>
        <v>0</v>
      </c>
      <c r="D21" s="19"/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0</v>
      </c>
      <c r="C22" s="20">
        <f t="shared" si="5"/>
        <v>0</v>
      </c>
      <c r="D22" s="19"/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0</v>
      </c>
      <c r="C25" s="20">
        <f t="shared" si="5"/>
        <v>0</v>
      </c>
      <c r="D25" s="19"/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4813238460</v>
      </c>
      <c r="C32" s="20">
        <f t="shared" si="7"/>
        <v>4813238460</v>
      </c>
      <c r="D32" s="19">
        <v>4813238460</v>
      </c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323F9-41D5-4139-92C7-AE51243BDFD2}">
  <dimension ref="A1:K78"/>
  <sheetViews>
    <sheetView workbookViewId="0">
      <selection activeCell="E24" sqref="E24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9.140625" style="7" customWidth="1"/>
    <col min="13" max="16384" width="9.140625" style="7"/>
  </cols>
  <sheetData>
    <row r="1" spans="1:11">
      <c r="B1" s="7" t="s">
        <v>1</v>
      </c>
      <c r="C1" s="4" t="s">
        <v>2</v>
      </c>
      <c r="D1" s="15" t="s">
        <v>58</v>
      </c>
      <c r="E1" s="28" t="s">
        <v>59</v>
      </c>
      <c r="F1" s="16"/>
      <c r="H1" s="7"/>
      <c r="I1" s="16"/>
      <c r="J1" s="17"/>
      <c r="K1" s="16"/>
    </row>
    <row r="2" spans="1:11" ht="16.5" customHeight="1">
      <c r="A2" s="1" t="s">
        <v>7</v>
      </c>
      <c r="B2" s="8" t="s">
        <v>8</v>
      </c>
      <c r="C2" s="9" t="s">
        <v>8</v>
      </c>
      <c r="D2" s="29">
        <v>46305</v>
      </c>
      <c r="E2" s="30">
        <v>9000000</v>
      </c>
    </row>
    <row r="3" spans="1:11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1" ht="16.5" customHeight="1">
      <c r="A4" s="3" t="s">
        <v>18</v>
      </c>
      <c r="B4" s="19">
        <f t="shared" ref="B4:B9" si="0">MIN(D4:AZ4)</f>
        <v>150000000</v>
      </c>
      <c r="C4" s="20">
        <f t="shared" ref="C4:C9" si="1">MAX(D4:AZ4)</f>
        <v>1575000000</v>
      </c>
      <c r="D4" s="21">
        <v>210000000</v>
      </c>
      <c r="E4" s="32">
        <v>150000000</v>
      </c>
      <c r="F4" s="32">
        <v>630000000</v>
      </c>
      <c r="G4" s="32">
        <v>1575000000</v>
      </c>
      <c r="H4" s="32">
        <v>972405006</v>
      </c>
      <c r="I4" s="32"/>
      <c r="J4" s="32"/>
      <c r="K4" s="32"/>
    </row>
    <row r="5" spans="1:11" ht="16.5" customHeight="1">
      <c r="A5" s="3" t="s">
        <v>19</v>
      </c>
      <c r="B5" s="19">
        <f t="shared" si="0"/>
        <v>347287500</v>
      </c>
      <c r="C5" s="20">
        <f t="shared" si="1"/>
        <v>1407100422</v>
      </c>
      <c r="D5" s="19">
        <v>347287500</v>
      </c>
      <c r="E5" s="32">
        <v>415785631</v>
      </c>
      <c r="F5" s="32">
        <v>443236631</v>
      </c>
      <c r="G5" s="32">
        <v>1157625000</v>
      </c>
      <c r="H5" s="32">
        <v>1407100422</v>
      </c>
      <c r="I5" s="32">
        <v>651557848</v>
      </c>
      <c r="J5" s="32">
        <v>735000000</v>
      </c>
      <c r="K5" s="32"/>
    </row>
    <row r="6" spans="1:11" ht="16.5" customHeight="1">
      <c r="A6" s="3" t="s">
        <v>20</v>
      </c>
      <c r="B6" s="19">
        <f t="shared" si="0"/>
        <v>800000000</v>
      </c>
      <c r="C6" s="20">
        <f t="shared" si="1"/>
        <v>926100000</v>
      </c>
      <c r="D6" s="19">
        <v>926100000</v>
      </c>
      <c r="E6" s="32">
        <v>810337500</v>
      </c>
      <c r="F6" s="32">
        <v>804057383</v>
      </c>
      <c r="G6" s="32">
        <v>850854375</v>
      </c>
      <c r="H6" s="32">
        <v>800000000</v>
      </c>
      <c r="I6" s="32">
        <v>804057383</v>
      </c>
      <c r="J6" s="32"/>
      <c r="K6" s="32"/>
    </row>
    <row r="7" spans="1:11" ht="16.5" customHeight="1">
      <c r="A7" s="3" t="s">
        <v>21</v>
      </c>
      <c r="B7" s="19">
        <f>MIN(D7:AZ7)</f>
        <v>55125000</v>
      </c>
      <c r="C7" s="20">
        <f>MAX(D7:AZ7)</f>
        <v>463050000</v>
      </c>
      <c r="D7" s="19">
        <v>315000000</v>
      </c>
      <c r="E7" s="32">
        <v>463050000</v>
      </c>
      <c r="F7" s="32">
        <v>355567255</v>
      </c>
      <c r="G7" s="32">
        <v>55125000</v>
      </c>
      <c r="H7" s="32">
        <v>315000000</v>
      </c>
      <c r="I7" s="32">
        <v>369363859</v>
      </c>
      <c r="J7" s="32"/>
      <c r="K7" s="32"/>
    </row>
    <row r="8" spans="1:11" ht="16.5" customHeight="1">
      <c r="A8" s="3" t="s">
        <v>22</v>
      </c>
      <c r="B8" s="19">
        <f t="shared" si="0"/>
        <v>50000000</v>
      </c>
      <c r="C8" s="20">
        <f t="shared" si="1"/>
        <v>200000000</v>
      </c>
      <c r="D8" s="19">
        <v>200000000</v>
      </c>
      <c r="E8" s="32">
        <v>100000000</v>
      </c>
      <c r="F8" s="32">
        <v>115762500</v>
      </c>
      <c r="G8" s="32">
        <v>73872769</v>
      </c>
      <c r="H8" s="32">
        <v>150000000</v>
      </c>
      <c r="I8" s="32">
        <v>50000000</v>
      </c>
      <c r="J8" s="32"/>
      <c r="K8" s="32"/>
    </row>
    <row r="9" spans="1:11" ht="16.5" customHeight="1">
      <c r="A9" s="3" t="s">
        <v>23</v>
      </c>
      <c r="B9" s="19">
        <f t="shared" si="0"/>
        <v>938066947</v>
      </c>
      <c r="C9" s="20">
        <f t="shared" si="1"/>
        <v>5131018071</v>
      </c>
      <c r="D9" s="19">
        <v>938066947</v>
      </c>
      <c r="E9" s="32">
        <v>1500000000</v>
      </c>
      <c r="F9" s="32">
        <v>5131018071</v>
      </c>
      <c r="G9" s="32">
        <v>1241062570</v>
      </c>
      <c r="H9" s="32">
        <v>2110650633</v>
      </c>
      <c r="I9" s="32">
        <v>2100000000</v>
      </c>
      <c r="J9" s="32"/>
      <c r="K9" s="32"/>
    </row>
    <row r="10" spans="1:11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1" ht="16.5" customHeight="1">
      <c r="A11" s="5" t="s">
        <v>25</v>
      </c>
      <c r="B11" s="19">
        <f t="shared" ref="B11:B17" si="2">MIN(D11:AZ11)</f>
        <v>1050000000</v>
      </c>
      <c r="C11" s="20">
        <f t="shared" ref="C11:C17" si="3">MAX(D11:AZ11)</f>
        <v>2010143460</v>
      </c>
      <c r="D11" s="19">
        <v>2010143460</v>
      </c>
      <c r="E11" s="32">
        <v>1500000000</v>
      </c>
      <c r="F11" s="32">
        <v>1050000000</v>
      </c>
      <c r="G11" s="32">
        <v>1072076512</v>
      </c>
      <c r="H11" s="32"/>
      <c r="I11" s="32"/>
      <c r="J11" s="32"/>
      <c r="K11" s="32"/>
    </row>
    <row r="12" spans="1:11" ht="16.5" customHeight="1">
      <c r="A12" s="3" t="s">
        <v>26</v>
      </c>
      <c r="B12" s="19">
        <f t="shared" si="2"/>
        <v>775664107</v>
      </c>
      <c r="C12" s="20">
        <f t="shared" si="3"/>
        <v>2526950187</v>
      </c>
      <c r="D12" s="19">
        <v>775664107</v>
      </c>
      <c r="E12" s="32">
        <v>1688520506</v>
      </c>
      <c r="F12" s="32">
        <v>2526950187</v>
      </c>
      <c r="G12" s="32"/>
      <c r="H12" s="32"/>
      <c r="I12" s="32"/>
      <c r="J12" s="32"/>
      <c r="K12" s="32"/>
    </row>
    <row r="13" spans="1:11" ht="16.5" customHeight="1">
      <c r="A13" s="3" t="s">
        <v>27</v>
      </c>
      <c r="B13" s="19">
        <f t="shared" si="2"/>
        <v>1102500000</v>
      </c>
      <c r="C13" s="20">
        <f t="shared" si="3"/>
        <v>1340095640</v>
      </c>
      <c r="D13" s="19">
        <v>1340095640</v>
      </c>
      <c r="E13" s="32">
        <v>1157625000</v>
      </c>
      <c r="F13" s="32">
        <v>1102500000</v>
      </c>
      <c r="G13" s="32"/>
      <c r="H13" s="32"/>
      <c r="I13" s="32"/>
      <c r="J13" s="32"/>
      <c r="K13" s="32"/>
    </row>
    <row r="14" spans="1:11" ht="16.5" customHeight="1">
      <c r="A14" s="3" t="s">
        <v>28</v>
      </c>
      <c r="B14" s="19">
        <f t="shared" si="2"/>
        <v>422130125</v>
      </c>
      <c r="C14" s="20">
        <f t="shared" si="3"/>
        <v>1000000000</v>
      </c>
      <c r="D14" s="19">
        <v>1000000000</v>
      </c>
      <c r="E14" s="32">
        <v>422130125</v>
      </c>
      <c r="F14" s="32">
        <v>607753125</v>
      </c>
      <c r="G14" s="32">
        <v>765768937</v>
      </c>
      <c r="H14" s="32">
        <v>703550211</v>
      </c>
      <c r="I14" s="32"/>
      <c r="J14" s="32"/>
      <c r="K14" s="32"/>
    </row>
    <row r="15" spans="1:11" ht="16.5" customHeight="1">
      <c r="A15" s="3" t="s">
        <v>29</v>
      </c>
      <c r="B15" s="19">
        <f t="shared" si="2"/>
        <v>100000000</v>
      </c>
      <c r="C15" s="20">
        <f t="shared" si="3"/>
        <v>200000000</v>
      </c>
      <c r="D15" s="19">
        <v>134009563</v>
      </c>
      <c r="E15" s="32">
        <v>130000000</v>
      </c>
      <c r="F15" s="32">
        <v>115762500</v>
      </c>
      <c r="G15" s="32">
        <v>200000000</v>
      </c>
      <c r="H15" s="32">
        <v>129355519</v>
      </c>
      <c r="I15" s="32">
        <v>110250000</v>
      </c>
      <c r="J15" s="32">
        <v>100000000</v>
      </c>
      <c r="K15" s="32"/>
    </row>
    <row r="16" spans="1:11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2828473709</v>
      </c>
      <c r="C17" s="20">
        <f t="shared" si="3"/>
        <v>4693325764</v>
      </c>
      <c r="D17" s="19">
        <v>4693325764</v>
      </c>
      <c r="E17" s="32">
        <v>2828473709</v>
      </c>
      <c r="F17" s="32"/>
      <c r="G17" s="32"/>
      <c r="H17" s="32"/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0</v>
      </c>
      <c r="C19" s="20">
        <f t="shared" ref="C19:C25" si="5">MAX(D19:AZ19)</f>
        <v>0</v>
      </c>
      <c r="D19" s="19"/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17958563256</v>
      </c>
      <c r="C20" s="20">
        <f t="shared" si="5"/>
        <v>39201291365</v>
      </c>
      <c r="D20" s="19">
        <v>39201291365</v>
      </c>
      <c r="E20" s="32">
        <v>31183922683</v>
      </c>
      <c r="F20" s="32">
        <v>17958563256</v>
      </c>
      <c r="G20" s="32">
        <v>19155858415</v>
      </c>
      <c r="H20" s="32">
        <v>33431551073</v>
      </c>
      <c r="I20" s="32"/>
      <c r="J20" s="32"/>
      <c r="K20" s="32"/>
    </row>
    <row r="21" spans="1:11" ht="16.5" customHeight="1">
      <c r="A21" s="3" t="s">
        <v>35</v>
      </c>
      <c r="B21" s="19">
        <f t="shared" si="4"/>
        <v>4254271875</v>
      </c>
      <c r="C21" s="20">
        <f t="shared" si="5"/>
        <v>4254271875</v>
      </c>
      <c r="D21" s="19">
        <v>4254271875</v>
      </c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1984500000</v>
      </c>
      <c r="C22" s="20">
        <f t="shared" si="5"/>
        <v>1984500000</v>
      </c>
      <c r="D22" s="19">
        <v>1984500000</v>
      </c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0</v>
      </c>
      <c r="C25" s="20">
        <f t="shared" si="5"/>
        <v>0</v>
      </c>
      <c r="D25" s="19"/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31183922683</v>
      </c>
      <c r="C27" s="20">
        <f t="shared" ref="C27:C34" si="7">MAX(D27:AZ27)</f>
        <v>31183922683</v>
      </c>
      <c r="D27" s="19">
        <v>31183922683</v>
      </c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88A78-9C2A-4880-92F8-630536B2A945}">
  <dimension ref="A1:N78"/>
  <sheetViews>
    <sheetView tabSelected="1" workbookViewId="0">
      <selection activeCell="G22" sqref="G22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9.140625" style="7" customWidth="1"/>
    <col min="13" max="13" width="16.5703125" style="7" bestFit="1" customWidth="1"/>
    <col min="14" max="14" width="15.42578125" style="7" bestFit="1" customWidth="1"/>
    <col min="15" max="16384" width="9.140625" style="7"/>
  </cols>
  <sheetData>
    <row r="1" spans="1:14">
      <c r="B1" s="7" t="s">
        <v>1</v>
      </c>
      <c r="C1" s="4" t="s">
        <v>2</v>
      </c>
      <c r="D1" s="15" t="s">
        <v>58</v>
      </c>
      <c r="E1" s="28" t="s">
        <v>59</v>
      </c>
      <c r="F1" s="16"/>
      <c r="H1" s="7"/>
      <c r="I1" s="16"/>
      <c r="J1" s="17"/>
      <c r="K1" s="16"/>
    </row>
    <row r="2" spans="1:14" ht="16.5" customHeight="1">
      <c r="A2" s="1" t="s">
        <v>7</v>
      </c>
      <c r="B2" s="8" t="s">
        <v>8</v>
      </c>
      <c r="C2" s="9" t="s">
        <v>8</v>
      </c>
      <c r="D2" s="29">
        <v>46309</v>
      </c>
      <c r="E2" s="30">
        <v>9000000</v>
      </c>
    </row>
    <row r="3" spans="1:14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4" ht="16.5" customHeight="1">
      <c r="A4" s="3" t="s">
        <v>18</v>
      </c>
      <c r="B4" s="19">
        <f t="shared" ref="B4:B9" si="0">MIN(D4:AZ4)</f>
        <v>505390030</v>
      </c>
      <c r="C4" s="20">
        <f t="shared" ref="C4:C9" si="1">MAX(D4:AZ4)</f>
        <v>2016726678</v>
      </c>
      <c r="D4" s="21">
        <v>505390030</v>
      </c>
      <c r="E4" s="32">
        <v>551250000</v>
      </c>
      <c r="F4" s="32">
        <v>593979474</v>
      </c>
      <c r="G4" s="32">
        <v>525000000</v>
      </c>
      <c r="H4" s="32">
        <v>2016726678</v>
      </c>
      <c r="I4" s="32"/>
      <c r="J4" s="32"/>
      <c r="K4" s="32"/>
    </row>
    <row r="5" spans="1:14" ht="16.5" customHeight="1">
      <c r="A5" s="3" t="s">
        <v>19</v>
      </c>
      <c r="B5" s="19">
        <f t="shared" si="0"/>
        <v>124106255</v>
      </c>
      <c r="C5" s="20">
        <f t="shared" si="1"/>
        <v>600000000</v>
      </c>
      <c r="D5" s="19">
        <v>124106255</v>
      </c>
      <c r="E5" s="32">
        <v>359171262</v>
      </c>
      <c r="F5" s="32">
        <v>600000000</v>
      </c>
      <c r="G5" s="32"/>
      <c r="H5" s="32"/>
      <c r="I5" s="32"/>
      <c r="J5" s="32"/>
      <c r="K5" s="32"/>
    </row>
    <row r="6" spans="1:14" ht="16.5" customHeight="1">
      <c r="A6" s="3" t="s">
        <v>20</v>
      </c>
      <c r="B6" s="19">
        <f t="shared" si="0"/>
        <v>578812500</v>
      </c>
      <c r="C6" s="20">
        <f t="shared" si="1"/>
        <v>1050000000</v>
      </c>
      <c r="D6" s="19">
        <v>620000000</v>
      </c>
      <c r="E6" s="32">
        <v>735000000</v>
      </c>
      <c r="F6" s="32">
        <v>800000000</v>
      </c>
      <c r="G6" s="32">
        <v>578812500</v>
      </c>
      <c r="H6" s="32">
        <v>1050000000</v>
      </c>
      <c r="I6" s="32"/>
      <c r="J6" s="32"/>
      <c r="K6" s="32"/>
    </row>
    <row r="7" spans="1:14" ht="16.5" customHeight="1">
      <c r="A7" s="3" t="s">
        <v>21</v>
      </c>
      <c r="B7" s="19">
        <f>MIN(D7:AZ7)</f>
        <v>500000000</v>
      </c>
      <c r="C7" s="20">
        <f>MAX(D7:AZ7)</f>
        <v>500000000</v>
      </c>
      <c r="D7" s="19">
        <v>500000000</v>
      </c>
      <c r="E7" s="32"/>
      <c r="F7" s="32"/>
      <c r="G7" s="32"/>
      <c r="H7" s="32"/>
      <c r="I7" s="32"/>
      <c r="J7" s="32"/>
      <c r="K7" s="32"/>
    </row>
    <row r="8" spans="1:14" ht="16.5" customHeight="1">
      <c r="A8" s="3" t="s">
        <v>22</v>
      </c>
      <c r="B8" s="19">
        <f t="shared" si="0"/>
        <v>11025000</v>
      </c>
      <c r="C8" s="20">
        <f t="shared" si="1"/>
        <v>210000000</v>
      </c>
      <c r="D8" s="19">
        <v>115500000</v>
      </c>
      <c r="E8" s="32">
        <v>127628156</v>
      </c>
      <c r="F8" s="32">
        <v>21828737</v>
      </c>
      <c r="G8" s="32">
        <v>11025000</v>
      </c>
      <c r="H8" s="32">
        <v>60000000</v>
      </c>
      <c r="I8" s="32">
        <v>50000000</v>
      </c>
      <c r="J8" s="32">
        <v>14071002</v>
      </c>
      <c r="K8" s="32">
        <v>210000000</v>
      </c>
      <c r="L8" s="35">
        <v>35556707</v>
      </c>
      <c r="M8" s="35">
        <v>171033934</v>
      </c>
      <c r="N8" s="35">
        <v>50000000</v>
      </c>
    </row>
    <row r="9" spans="1:14" ht="16.5" customHeight="1">
      <c r="A9" s="3" t="s">
        <v>23</v>
      </c>
      <c r="B9" s="19">
        <f t="shared" si="0"/>
        <v>1050000000</v>
      </c>
      <c r="C9" s="20">
        <f t="shared" si="1"/>
        <v>3677415513</v>
      </c>
      <c r="D9" s="19">
        <v>2000000000</v>
      </c>
      <c r="E9" s="32">
        <v>1050000000</v>
      </c>
      <c r="F9" s="32">
        <v>3677415513</v>
      </c>
      <c r="G9" s="32">
        <v>3257789252</v>
      </c>
      <c r="H9" s="32">
        <v>3500000000</v>
      </c>
      <c r="I9" s="32">
        <v>2110650633</v>
      </c>
      <c r="J9" s="32">
        <v>1653750000</v>
      </c>
      <c r="K9" s="32"/>
    </row>
    <row r="10" spans="1:14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4" ht="16.5" customHeight="1">
      <c r="A11" s="5" t="s">
        <v>25</v>
      </c>
      <c r="B11" s="19">
        <f t="shared" ref="B11:B17" si="2">MIN(D11:AZ11)</f>
        <v>330750000</v>
      </c>
      <c r="C11" s="20">
        <f t="shared" ref="C11:C17" si="3">MAX(D11:AZ11)</f>
        <v>3402413451</v>
      </c>
      <c r="D11" s="19">
        <v>3292908451</v>
      </c>
      <c r="E11" s="32">
        <v>600000000</v>
      </c>
      <c r="F11" s="32">
        <v>3402413451</v>
      </c>
      <c r="G11" s="32">
        <v>700000000</v>
      </c>
      <c r="H11" s="32">
        <v>2925260709</v>
      </c>
      <c r="I11" s="32">
        <v>1102500000</v>
      </c>
      <c r="J11" s="32">
        <v>330750000</v>
      </c>
      <c r="K11" s="32">
        <v>500000000</v>
      </c>
    </row>
    <row r="12" spans="1:14" ht="16.5" customHeight="1">
      <c r="A12" s="3" t="s">
        <v>26</v>
      </c>
      <c r="B12" s="19">
        <f t="shared" si="2"/>
        <v>200000000</v>
      </c>
      <c r="C12" s="20">
        <f t="shared" si="3"/>
        <v>3095620928</v>
      </c>
      <c r="D12" s="19">
        <v>1710339356</v>
      </c>
      <c r="E12" s="32">
        <v>200000000</v>
      </c>
      <c r="F12" s="32">
        <v>1755156420</v>
      </c>
      <c r="G12" s="32">
        <v>3095620928</v>
      </c>
      <c r="H12" s="32">
        <v>977336773</v>
      </c>
      <c r="I12" s="32">
        <v>1257099423</v>
      </c>
      <c r="J12" s="32"/>
      <c r="K12" s="32"/>
    </row>
    <row r="13" spans="1:14" ht="16.5" customHeight="1">
      <c r="A13" s="3" t="s">
        <v>27</v>
      </c>
      <c r="B13" s="19">
        <f t="shared" si="2"/>
        <v>1247356901</v>
      </c>
      <c r="C13" s="20">
        <f t="shared" si="3"/>
        <v>1881373290</v>
      </c>
      <c r="D13" s="19">
        <v>1881373290</v>
      </c>
      <c r="E13" s="32">
        <v>1247356901</v>
      </c>
      <c r="F13" s="32"/>
      <c r="G13" s="32"/>
      <c r="H13" s="32"/>
      <c r="I13" s="32"/>
      <c r="J13" s="32"/>
      <c r="K13" s="32"/>
    </row>
    <row r="14" spans="1:14" ht="16.5" customHeight="1">
      <c r="A14" s="3" t="s">
        <v>28</v>
      </c>
      <c r="B14" s="19">
        <f t="shared" si="2"/>
        <v>570113111</v>
      </c>
      <c r="C14" s="20">
        <f t="shared" si="3"/>
        <v>1535761867</v>
      </c>
      <c r="D14" s="19">
        <v>700000000</v>
      </c>
      <c r="E14" s="32">
        <v>570113111</v>
      </c>
      <c r="F14" s="32">
        <v>1535761867</v>
      </c>
      <c r="G14" s="32"/>
      <c r="H14" s="32"/>
      <c r="I14" s="32"/>
      <c r="J14" s="32"/>
      <c r="K14" s="32"/>
    </row>
    <row r="15" spans="1:14" ht="16.5" customHeight="1">
      <c r="A15" s="3" t="s">
        <v>29</v>
      </c>
      <c r="B15" s="19">
        <f t="shared" si="2"/>
        <v>31500000</v>
      </c>
      <c r="C15" s="20">
        <f t="shared" si="3"/>
        <v>207892813</v>
      </c>
      <c r="D15" s="19">
        <v>31500000</v>
      </c>
      <c r="E15" s="32">
        <v>51310177</v>
      </c>
      <c r="F15" s="32">
        <v>207892813</v>
      </c>
      <c r="G15" s="32">
        <v>44323661</v>
      </c>
      <c r="H15" s="32">
        <v>42213011</v>
      </c>
      <c r="I15" s="32">
        <v>162889461</v>
      </c>
      <c r="J15" s="32"/>
      <c r="K15" s="32"/>
    </row>
    <row r="16" spans="1:14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3000000000</v>
      </c>
      <c r="C17" s="20">
        <f t="shared" si="3"/>
        <v>8144473130</v>
      </c>
      <c r="D17" s="19">
        <v>3000000000</v>
      </c>
      <c r="E17" s="32">
        <v>8144473130</v>
      </c>
      <c r="F17" s="32">
        <v>3675000000</v>
      </c>
      <c r="G17" s="32"/>
      <c r="H17" s="32"/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8400000000</v>
      </c>
      <c r="C19" s="20">
        <f t="shared" ref="C19:C25" si="5">MAX(D19:AZ19)</f>
        <v>8400000000</v>
      </c>
      <c r="D19" s="19">
        <v>8400000000</v>
      </c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14332500000</v>
      </c>
      <c r="C20" s="20">
        <f t="shared" si="5"/>
        <v>20101434608</v>
      </c>
      <c r="D20" s="19">
        <v>14332500000</v>
      </c>
      <c r="E20" s="32">
        <v>20101434608</v>
      </c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7387277217</v>
      </c>
      <c r="C21" s="20">
        <f t="shared" si="5"/>
        <v>8682187500</v>
      </c>
      <c r="D21" s="19">
        <v>7387277217</v>
      </c>
      <c r="E21" s="32">
        <v>8682187500</v>
      </c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0</v>
      </c>
      <c r="C22" s="20">
        <f t="shared" si="5"/>
        <v>0</v>
      </c>
      <c r="D22" s="19"/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0</v>
      </c>
      <c r="C25" s="20">
        <f t="shared" si="5"/>
        <v>0</v>
      </c>
      <c r="D25" s="19"/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700000000</v>
      </c>
      <c r="C32" s="20">
        <f t="shared" si="7"/>
        <v>700000000</v>
      </c>
      <c r="D32" s="19">
        <v>700000000</v>
      </c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374CC-C5DA-4317-87E2-42FF1F07BC3C}">
  <dimension ref="A1:N78"/>
  <sheetViews>
    <sheetView topLeftCell="A13" workbookViewId="0">
      <selection activeCell="G7" sqref="G7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9.140625" style="7" customWidth="1"/>
    <col min="13" max="13" width="16.5703125" style="7" bestFit="1" customWidth="1"/>
    <col min="14" max="14" width="15.42578125" style="7" bestFit="1" customWidth="1"/>
    <col min="15" max="16384" width="9.140625" style="7"/>
  </cols>
  <sheetData>
    <row r="1" spans="1:14">
      <c r="B1" s="7" t="s">
        <v>1</v>
      </c>
      <c r="C1" s="4" t="s">
        <v>2</v>
      </c>
      <c r="D1" s="15" t="s">
        <v>58</v>
      </c>
      <c r="E1" s="28" t="s">
        <v>59</v>
      </c>
      <c r="F1" s="16"/>
      <c r="H1" s="7"/>
      <c r="I1" s="16"/>
      <c r="J1" s="17"/>
      <c r="K1" s="16"/>
    </row>
    <row r="2" spans="1:14" ht="16.5" customHeight="1">
      <c r="A2" s="1" t="s">
        <v>7</v>
      </c>
      <c r="B2" s="8" t="s">
        <v>8</v>
      </c>
      <c r="C2" s="9" t="s">
        <v>8</v>
      </c>
      <c r="D2" s="29">
        <v>1021</v>
      </c>
      <c r="E2" s="30">
        <v>9000000</v>
      </c>
    </row>
    <row r="3" spans="1:14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4" ht="16.5" customHeight="1">
      <c r="A4" s="3" t="s">
        <v>18</v>
      </c>
      <c r="B4" s="19">
        <f t="shared" ref="B4:B9" si="0">MIN(D4:AZ4)</f>
        <v>240661916</v>
      </c>
      <c r="C4" s="20">
        <f t="shared" ref="C4:C9" si="1">MAX(D4:AZ4)</f>
        <v>2756250000</v>
      </c>
      <c r="D4" s="21">
        <v>2000000000</v>
      </c>
      <c r="E4" s="32">
        <v>900000000</v>
      </c>
      <c r="F4" s="32">
        <v>240661916</v>
      </c>
      <c r="G4" s="32">
        <v>2756250000</v>
      </c>
      <c r="H4" s="32">
        <v>2309461875</v>
      </c>
      <c r="I4" s="32">
        <v>1000000000</v>
      </c>
      <c r="J4" s="32">
        <v>800000000</v>
      </c>
      <c r="K4" s="32">
        <v>2431012500</v>
      </c>
      <c r="L4" s="35">
        <v>1000000000</v>
      </c>
    </row>
    <row r="5" spans="1:14" ht="16.5" customHeight="1">
      <c r="A5" s="3" t="s">
        <v>19</v>
      </c>
      <c r="B5" s="19">
        <f t="shared" si="0"/>
        <v>492485146</v>
      </c>
      <c r="C5" s="20">
        <f t="shared" si="1"/>
        <v>492485146</v>
      </c>
      <c r="D5" s="19">
        <v>492485146</v>
      </c>
      <c r="E5" s="32"/>
      <c r="F5" s="32"/>
      <c r="G5" s="32"/>
      <c r="H5" s="32"/>
      <c r="I5" s="32"/>
      <c r="J5" s="32"/>
      <c r="K5" s="32"/>
    </row>
    <row r="6" spans="1:14" ht="16.5" customHeight="1">
      <c r="A6" s="3" t="s">
        <v>20</v>
      </c>
      <c r="B6" s="19">
        <f t="shared" si="0"/>
        <v>720000000</v>
      </c>
      <c r="C6" s="20">
        <f t="shared" si="1"/>
        <v>930796927</v>
      </c>
      <c r="D6" s="19">
        <v>844260252</v>
      </c>
      <c r="E6" s="32">
        <v>720000000</v>
      </c>
      <c r="F6" s="32">
        <v>800000000</v>
      </c>
      <c r="G6" s="32">
        <v>930796927</v>
      </c>
      <c r="H6" s="32"/>
      <c r="I6" s="32"/>
      <c r="J6" s="32"/>
      <c r="K6" s="32"/>
    </row>
    <row r="7" spans="1:14" ht="16.5" customHeight="1">
      <c r="A7" s="3" t="s">
        <v>21</v>
      </c>
      <c r="B7" s="19">
        <f>MIN(D7:AZ7)</f>
        <v>100000000</v>
      </c>
      <c r="C7" s="20">
        <f>MAX(D7:AZ7)</f>
        <v>525000000</v>
      </c>
      <c r="D7" s="19">
        <v>210000000</v>
      </c>
      <c r="E7" s="32">
        <v>100000000</v>
      </c>
      <c r="F7" s="32">
        <v>310265641</v>
      </c>
      <c r="G7" s="32">
        <v>200000000</v>
      </c>
      <c r="H7" s="32">
        <v>100000000</v>
      </c>
      <c r="I7" s="32">
        <v>525000000</v>
      </c>
      <c r="J7" s="32">
        <v>105000000</v>
      </c>
      <c r="K7" s="32">
        <v>240661916</v>
      </c>
    </row>
    <row r="8" spans="1:14" ht="16.5" customHeight="1">
      <c r="A8" s="3" t="s">
        <v>22</v>
      </c>
      <c r="B8" s="19">
        <f t="shared" si="0"/>
        <v>13400955</v>
      </c>
      <c r="C8" s="20">
        <f t="shared" si="1"/>
        <v>300000000</v>
      </c>
      <c r="D8" s="19">
        <v>300000000</v>
      </c>
      <c r="E8" s="32">
        <v>200000000</v>
      </c>
      <c r="F8" s="32">
        <v>13400955</v>
      </c>
      <c r="G8" s="32">
        <v>40000000</v>
      </c>
      <c r="H8" s="32">
        <v>50000000</v>
      </c>
      <c r="I8" s="32">
        <v>42213011</v>
      </c>
      <c r="J8" s="32">
        <v>110250000</v>
      </c>
      <c r="K8" s="32">
        <v>52533446</v>
      </c>
      <c r="L8" s="35">
        <v>17958558</v>
      </c>
      <c r="M8" s="35">
        <v>115762500</v>
      </c>
      <c r="N8" s="35"/>
    </row>
    <row r="9" spans="1:14" ht="16.5" customHeight="1">
      <c r="A9" s="3" t="s">
        <v>23</v>
      </c>
      <c r="B9" s="19">
        <f t="shared" si="0"/>
        <v>2110650633</v>
      </c>
      <c r="C9" s="20">
        <f t="shared" si="1"/>
        <v>2680191281</v>
      </c>
      <c r="D9" s="19">
        <v>2680191281</v>
      </c>
      <c r="E9" s="32">
        <v>2110650633</v>
      </c>
      <c r="F9" s="32"/>
      <c r="G9" s="32"/>
      <c r="H9" s="32"/>
      <c r="I9" s="32"/>
      <c r="J9" s="32"/>
      <c r="K9" s="32"/>
    </row>
    <row r="10" spans="1:14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4" ht="16.5" customHeight="1">
      <c r="A11" s="5" t="s">
        <v>25</v>
      </c>
      <c r="B11" s="19">
        <f t="shared" ref="B11:B17" si="2">MIN(D11:AZ11)</f>
        <v>1260000000</v>
      </c>
      <c r="C11" s="20">
        <f t="shared" ref="C11:C17" si="3">MAX(D11:AZ11)</f>
        <v>3307500000</v>
      </c>
      <c r="D11" s="19">
        <v>2000000000</v>
      </c>
      <c r="E11" s="32">
        <v>2500000000</v>
      </c>
      <c r="F11" s="32">
        <v>3307500000</v>
      </c>
      <c r="G11" s="32">
        <v>1260000000</v>
      </c>
      <c r="H11" s="32">
        <v>1888888888</v>
      </c>
      <c r="I11" s="32">
        <v>2117563011</v>
      </c>
      <c r="J11" s="32">
        <v>2406619226</v>
      </c>
      <c r="K11" s="32">
        <v>1551328215</v>
      </c>
      <c r="L11" s="35">
        <v>2500000000</v>
      </c>
    </row>
    <row r="12" spans="1:14" ht="16.5" customHeight="1">
      <c r="A12" s="3" t="s">
        <v>26</v>
      </c>
      <c r="B12" s="19">
        <f t="shared" si="2"/>
        <v>1010780070</v>
      </c>
      <c r="C12" s="20">
        <f t="shared" si="3"/>
        <v>5512500000</v>
      </c>
      <c r="D12" s="19">
        <v>5512500000</v>
      </c>
      <c r="E12" s="32">
        <v>1281000000</v>
      </c>
      <c r="F12" s="32">
        <v>1500000000</v>
      </c>
      <c r="G12" s="32">
        <v>1041596666</v>
      </c>
      <c r="H12" s="32">
        <v>1010780070</v>
      </c>
      <c r="I12" s="32">
        <v>3646518750</v>
      </c>
      <c r="J12" s="32">
        <v>1385952113</v>
      </c>
      <c r="K12" s="32"/>
    </row>
    <row r="13" spans="1:14" ht="16.5" customHeight="1">
      <c r="A13" s="3" t="s">
        <v>27</v>
      </c>
      <c r="B13" s="19">
        <f t="shared" si="2"/>
        <v>525000000</v>
      </c>
      <c r="C13" s="20">
        <f t="shared" si="3"/>
        <v>1500000000</v>
      </c>
      <c r="D13" s="19">
        <v>1050000000</v>
      </c>
      <c r="E13" s="32">
        <v>525000000</v>
      </c>
      <c r="F13" s="32">
        <v>1500000000</v>
      </c>
      <c r="G13" s="32">
        <v>1286249997</v>
      </c>
      <c r="H13" s="32"/>
      <c r="I13" s="32"/>
      <c r="J13" s="32"/>
      <c r="K13" s="32"/>
    </row>
    <row r="14" spans="1:14" ht="16.5" customHeight="1">
      <c r="A14" s="3" t="s">
        <v>28</v>
      </c>
      <c r="B14" s="19">
        <f t="shared" si="2"/>
        <v>150000000</v>
      </c>
      <c r="C14" s="20">
        <f t="shared" si="3"/>
        <v>989965796</v>
      </c>
      <c r="D14" s="19">
        <v>638140781</v>
      </c>
      <c r="E14" s="32">
        <v>150000000</v>
      </c>
      <c r="F14" s="32">
        <v>800000000</v>
      </c>
      <c r="G14" s="32">
        <v>218882282</v>
      </c>
      <c r="H14" s="32">
        <v>989965796</v>
      </c>
      <c r="I14" s="32"/>
      <c r="J14" s="32"/>
      <c r="K14" s="32"/>
    </row>
    <row r="15" spans="1:14" ht="16.5" customHeight="1">
      <c r="A15" s="3" t="s">
        <v>29</v>
      </c>
      <c r="B15" s="19">
        <f t="shared" si="2"/>
        <v>33075000</v>
      </c>
      <c r="C15" s="20">
        <f t="shared" si="3"/>
        <v>315000000</v>
      </c>
      <c r="D15" s="19">
        <v>315000000</v>
      </c>
      <c r="E15" s="32">
        <v>68760541</v>
      </c>
      <c r="F15" s="32">
        <v>33075000</v>
      </c>
      <c r="G15" s="32">
        <v>63814077</v>
      </c>
      <c r="H15" s="32">
        <v>142948218</v>
      </c>
      <c r="I15" s="32">
        <v>140710041</v>
      </c>
      <c r="J15" s="32">
        <v>100000000</v>
      </c>
      <c r="K15" s="32">
        <v>110250000</v>
      </c>
    </row>
    <row r="16" spans="1:14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3038765625</v>
      </c>
      <c r="C17" s="20">
        <f t="shared" si="3"/>
        <v>8551696786</v>
      </c>
      <c r="D17" s="19">
        <v>6548623758</v>
      </c>
      <c r="E17" s="32">
        <v>8551696786</v>
      </c>
      <c r="F17" s="32">
        <v>6077531250</v>
      </c>
      <c r="G17" s="32">
        <v>3038765625</v>
      </c>
      <c r="H17" s="32">
        <v>3693638608</v>
      </c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0</v>
      </c>
      <c r="C19" s="20">
        <f t="shared" ref="C19:C25" si="5">MAX(D19:AZ19)</f>
        <v>0</v>
      </c>
      <c r="D19" s="19"/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0</v>
      </c>
      <c r="C20" s="20">
        <f t="shared" si="5"/>
        <v>0</v>
      </c>
      <c r="D20" s="19"/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0</v>
      </c>
      <c r="C21" s="20">
        <f t="shared" si="5"/>
        <v>0</v>
      </c>
      <c r="D21" s="19"/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0</v>
      </c>
      <c r="C22" s="20">
        <f t="shared" si="5"/>
        <v>0</v>
      </c>
      <c r="D22" s="19"/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3150000000</v>
      </c>
      <c r="C23" s="20">
        <f t="shared" si="5"/>
        <v>5250000000</v>
      </c>
      <c r="D23" s="19">
        <v>3150000000</v>
      </c>
      <c r="E23" s="32">
        <v>5250000000</v>
      </c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897928160</v>
      </c>
      <c r="C24" s="20">
        <f t="shared" si="5"/>
        <v>897928160</v>
      </c>
      <c r="D24" s="19">
        <v>897928160</v>
      </c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200000000</v>
      </c>
      <c r="C25" s="20">
        <f t="shared" si="5"/>
        <v>200000000</v>
      </c>
      <c r="D25" s="19">
        <v>200000000</v>
      </c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24310125000</v>
      </c>
      <c r="C36" s="20">
        <f t="shared" ref="C36:C41" si="9">MAX(D36:AZ36)</f>
        <v>24310125000</v>
      </c>
      <c r="D36" s="19">
        <v>24310125000</v>
      </c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工作表2</vt:lpstr>
      <vt:lpstr>List</vt:lpstr>
      <vt:lpstr>歷史成交總集</vt:lpstr>
      <vt:lpstr>0926紀錄</vt:lpstr>
      <vt:lpstr>0930紀錄</vt:lpstr>
      <vt:lpstr>1003紀錄</vt:lpstr>
      <vt:lpstr>1007紀錄</vt:lpstr>
      <vt:lpstr>1010紀錄</vt:lpstr>
      <vt:lpstr>1014紀錄</vt:lpstr>
      <vt:lpstr>1017紀錄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Winston Yixi</cp:lastModifiedBy>
  <dcterms:created xsi:type="dcterms:W3CDTF">2015-06-05T18:19:34Z</dcterms:created>
  <dcterms:modified xsi:type="dcterms:W3CDTF">2026-10-20T19:45:43Z</dcterms:modified>
</cp:coreProperties>
</file>