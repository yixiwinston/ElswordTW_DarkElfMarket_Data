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80" yWindow="3045" windowWidth="21600" windowHeight="11385" tabRatio="600" firstSheet="0" activeTab="2" autoFilterDateGrouping="1"/>
  </bookViews>
  <sheets>
    <sheet name="工作表2" sheetId="1" state="visible" r:id="rId1"/>
    <sheet name="List" sheetId="2" state="visible" r:id="rId2"/>
    <sheet name="歷史成交總集" sheetId="3" state="visible" r:id="rId3"/>
    <sheet name="0926紀錄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_);[Red]\(#,##0\)"/>
    <numFmt numFmtId="165" formatCode="_-* #,##0_-;\-* #,##0_-;_-* &quot;-&quot;??_-;_-@_-"/>
    <numFmt numFmtId="166" formatCode="_-* #,##0.00_-;\-* #,##0.00_-;_-* &quot;-&quot;??_-;_-@_-"/>
    <numFmt numFmtId="167" formatCode="m&quot;月&quot;d&quot;日&quot;"/>
  </numFmts>
  <fonts count="12">
    <font>
      <name val="新細明體"/>
      <family val="2"/>
      <color theme="1"/>
      <sz val="11"/>
      <scheme val="minor"/>
    </font>
    <font>
      <name val="新細明體"/>
      <family val="2"/>
      <color theme="1"/>
      <sz val="11"/>
      <scheme val="minor"/>
    </font>
    <font>
      <name val="Inherit"/>
      <family val="2"/>
      <b val="1"/>
      <color theme="1"/>
      <sz val="12"/>
    </font>
    <font>
      <name val="微軟正黑體"/>
      <charset val="136"/>
      <family val="2"/>
      <color theme="1"/>
      <sz val="12"/>
    </font>
    <font>
      <name val="Inherit"/>
      <family val="2"/>
      <color theme="1"/>
      <sz val="12"/>
    </font>
    <font>
      <name val="新細明體"/>
      <charset val="136"/>
      <family val="3"/>
      <sz val="9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細明體"/>
      <charset val="136"/>
      <family val="3"/>
      <color indexed="81"/>
      <sz val="9"/>
    </font>
    <font>
      <name val="新細明體"/>
      <charset val="136"/>
      <family val="1"/>
      <b val="1"/>
      <color theme="1"/>
      <sz val="12"/>
      <scheme val="minor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1" fillId="0" borderId="0"/>
    <xf numFmtId="43" fontId="1" fillId="0" borderId="0" applyAlignment="1">
      <alignment vertical="center"/>
    </xf>
  </cellStyleXfs>
  <cellXfs count="59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indent="1"/>
    </xf>
    <xf numFmtId="164" fontId="0" fillId="0" borderId="0" pivotButton="0" quotePrefix="0" xfId="1"/>
    <xf numFmtId="0" fontId="0" fillId="0" borderId="1" pivotButton="0" quotePrefix="0" xfId="0"/>
    <xf numFmtId="165" fontId="0" fillId="0" borderId="0" pivotButton="0" quotePrefix="0" xfId="1"/>
    <xf numFmtId="0" fontId="3" fillId="0" borderId="0" applyAlignment="1" pivotButton="0" quotePrefix="0" xfId="0">
      <alignment horizontal="left" vertical="center" indent="1"/>
    </xf>
    <xf numFmtId="0" fontId="0" fillId="2" borderId="0" pivotButton="0" quotePrefix="0" xfId="0"/>
    <xf numFmtId="165" fontId="0" fillId="2" borderId="0" pivotButton="0" quotePrefix="0" xfId="1"/>
    <xf numFmtId="0" fontId="0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pivotButton="0" quotePrefix="0" xfId="0"/>
    <xf numFmtId="0" fontId="11" fillId="0" borderId="1" pivotButton="0" quotePrefix="0" xfId="0"/>
    <xf numFmtId="0" fontId="11" fillId="0" borderId="0" pivotButton="0" quotePrefix="0" xfId="0"/>
    <xf numFmtId="0" fontId="10" fillId="2" borderId="0" applyAlignment="1" pivotButton="0" quotePrefix="0" xfId="0">
      <alignment horizontal="left"/>
    </xf>
    <xf numFmtId="0" fontId="10" fillId="2" borderId="1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165" fontId="10" fillId="0" borderId="0" applyAlignment="1" pivotButton="0" quotePrefix="0" xfId="1">
      <alignment horizontal="left" vertical="center" indent="1"/>
    </xf>
    <xf numFmtId="165" fontId="10" fillId="0" borderId="1" applyAlignment="1" pivotButton="0" quotePrefix="0" xfId="1">
      <alignment horizontal="left" vertical="center" indent="1"/>
    </xf>
    <xf numFmtId="165" fontId="10" fillId="0" borderId="0" applyAlignment="1" pivotButton="0" quotePrefix="0" xfId="1">
      <alignment horizontal="left" vertical="top" indent="1"/>
    </xf>
    <xf numFmtId="165" fontId="10" fillId="0" borderId="0" applyAlignment="1" pivotButton="0" quotePrefix="0" xfId="1">
      <alignment horizontal="left" vertical="center" indent="1"/>
    </xf>
    <xf numFmtId="165" fontId="10" fillId="2" borderId="0" applyAlignment="1" pivotButton="0" quotePrefix="0" xfId="1">
      <alignment horizontal="left"/>
    </xf>
    <xf numFmtId="165" fontId="10" fillId="2" borderId="1" applyAlignment="1" pivotButton="0" quotePrefix="0" xfId="1">
      <alignment horizontal="left"/>
    </xf>
    <xf numFmtId="165" fontId="10" fillId="2" borderId="0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5" fontId="11" fillId="2" borderId="1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6" fontId="0" fillId="0" borderId="0" pivotButton="0" quotePrefix="0" xfId="1"/>
    <xf numFmtId="166" fontId="0" fillId="0" borderId="0" pivotButton="0" quotePrefix="0" xfId="0"/>
    <xf numFmtId="165" fontId="10" fillId="2" borderId="0" pivotButton="0" quotePrefix="0" xfId="1"/>
    <xf numFmtId="165" fontId="10" fillId="0" borderId="0" pivotButton="0" quotePrefix="0" xfId="1"/>
    <xf numFmtId="165" fontId="10" fillId="2" borderId="0" applyAlignment="1" pivotButton="0" quotePrefix="0" xfId="1">
      <alignment horizontal="left" vertical="center" indent="1"/>
    </xf>
    <xf numFmtId="165" fontId="10" fillId="2" borderId="1" applyAlignment="1" pivotButton="0" quotePrefix="0" xfId="1">
      <alignment horizontal="left" vertical="center" indent="1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1">
      <alignment horizontal="right"/>
    </xf>
    <xf numFmtId="167" fontId="9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right"/>
    </xf>
    <xf numFmtId="165" fontId="0" fillId="0" borderId="0" pivotButton="0" quotePrefix="0" xfId="1"/>
    <xf numFmtId="166" fontId="0" fillId="0" borderId="0" pivotButton="0" quotePrefix="0" xfId="1"/>
    <xf numFmtId="165" fontId="0" fillId="2" borderId="0" pivotButton="0" quotePrefix="0" xfId="1"/>
    <xf numFmtId="165" fontId="10" fillId="0" borderId="0" applyAlignment="1" pivotButton="0" quotePrefix="0" xfId="1">
      <alignment horizontal="left" vertical="center" indent="1"/>
    </xf>
    <xf numFmtId="165" fontId="10" fillId="0" borderId="1" applyAlignment="1" pivotButton="0" quotePrefix="0" xfId="1">
      <alignment horizontal="left" vertical="center" indent="1"/>
    </xf>
    <xf numFmtId="165" fontId="10" fillId="0" borderId="0" applyAlignment="1" pivotButton="0" quotePrefix="0" xfId="1">
      <alignment horizontal="left" vertical="top" indent="1"/>
    </xf>
    <xf numFmtId="166" fontId="0" fillId="0" borderId="0" pivotButton="0" quotePrefix="0" xfId="0"/>
    <xf numFmtId="164" fontId="0" fillId="0" borderId="0" pivotButton="0" quotePrefix="0" xfId="1"/>
    <xf numFmtId="165" fontId="10" fillId="2" borderId="0" applyAlignment="1" pivotButton="0" quotePrefix="0" xfId="1">
      <alignment horizontal="left"/>
    </xf>
    <xf numFmtId="165" fontId="10" fillId="2" borderId="1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5" fontId="11" fillId="2" borderId="1" applyAlignment="1" pivotButton="0" quotePrefix="0" xfId="1">
      <alignment horizontal="left"/>
    </xf>
    <xf numFmtId="165" fontId="0" fillId="0" borderId="0" applyAlignment="1" pivotButton="0" quotePrefix="0" xfId="1">
      <alignment horizontal="right"/>
    </xf>
    <xf numFmtId="167" fontId="9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right"/>
    </xf>
    <xf numFmtId="165" fontId="10" fillId="2" borderId="0" pivotButton="0" quotePrefix="0" xfId="1"/>
    <xf numFmtId="165" fontId="10" fillId="0" borderId="0" pivotButton="0" quotePrefix="0" xfId="1"/>
    <xf numFmtId="165" fontId="10" fillId="2" borderId="0" applyAlignment="1" pivotButton="0" quotePrefix="0" xfId="1">
      <alignment horizontal="left" vertical="center" indent="1"/>
    </xf>
    <xf numFmtId="165" fontId="10" fillId="2" borderId="1" applyAlignment="1" pivotButton="0" quotePrefix="0" xfId="1">
      <alignment horizontal="left" vertical="center" indent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  <comment ref="A4" authorId="0" shapeId="0">
      <text>
        <t xml:space="preserve">USER:
先當10個黑色碎片
</t>
      </text>
    </comment>
    <comment ref="A7" authorId="0" shapeId="0">
      <text>
        <t>USER:
視同死龍後悔卷 1e ED</t>
      </text>
    </comment>
    <comment ref="A8" authorId="0" shapeId="0">
      <text>
        <t>USER:
商城1e ED + 5片備份模塊 = 450$
轉換後一片約88</t>
      </text>
    </comment>
    <comment ref="A9" authorId="0" shapeId="0">
      <text>
        <t>USER:
1蔣萬安瓶 = 100掉落材料</t>
      </text>
    </comment>
    <comment ref="A16" authorId="0" shapeId="0">
      <text>
        <t>USER:
商城1e ED + 5片備份模塊 = 450$
轉換後一片約88</t>
      </text>
    </comment>
    <comment ref="A21" authorId="0" shapeId="0">
      <text>
        <t>USER:
先當40個黑色碎片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zoomScale="85" zoomScaleNormal="85" workbookViewId="0">
      <selection activeCell="F1" sqref="F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A1" t="inlineStr">
        <is>
          <t>Last Update: 20260914</t>
        </is>
      </c>
      <c r="B1" t="inlineStr">
        <is>
          <t>最低價參考</t>
        </is>
      </c>
      <c r="C1" s="5" t="inlineStr">
        <is>
          <t>最高價參考</t>
        </is>
      </c>
      <c r="E1" s="40" t="inlineStr">
        <is>
          <t>ED匯率:</t>
        </is>
      </c>
      <c r="F1" s="40" t="n">
        <v>10000000</v>
      </c>
      <c r="G1" s="40" t="inlineStr">
        <is>
          <t>黑色碎片匯率:</t>
        </is>
      </c>
      <c r="H1" s="40" t="n">
        <v>500000000</v>
      </c>
      <c r="I1" s="40" t="inlineStr">
        <is>
          <t>轉點優惠:</t>
        </is>
      </c>
      <c r="J1" s="41" t="n">
        <v>0.87</v>
      </c>
      <c r="K1" s="40" t="inlineStr">
        <is>
          <t>美托龍(ED)</t>
        </is>
      </c>
      <c r="L1" t="n">
        <v>30000</v>
      </c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13" t="inlineStr">
        <is>
          <t>參考價(ED</t>
        </is>
      </c>
      <c r="E2" t="inlineStr">
        <is>
          <t>商城價(NT)</t>
        </is>
      </c>
      <c r="F2" t="inlineStr">
        <is>
          <t>商人價(NT)</t>
        </is>
      </c>
      <c r="G2" s="40" t="inlineStr">
        <is>
          <t>板子價(ED)</t>
        </is>
      </c>
      <c r="H2" s="40" t="inlineStr">
        <is>
          <t>黑色碎片換算</t>
        </is>
      </c>
      <c r="I2" t="inlineStr">
        <is>
          <t>已知成交價</t>
        </is>
      </c>
      <c r="J2" t="inlineStr">
        <is>
          <t>已知成交價NT</t>
        </is>
      </c>
      <c r="K2" t="inlineStr">
        <is>
          <t>已知成交價ED</t>
        </is>
      </c>
    </row>
    <row r="3" ht="16.5" customHeight="1" s="10">
      <c r="A3" s="2" t="inlineStr">
        <is>
          <t xml:space="preserve">層級一 </t>
        </is>
      </c>
      <c r="B3" s="19" t="n"/>
      <c r="C3" s="18" t="n"/>
      <c r="D3" s="19" t="n"/>
      <c r="E3" s="8" t="n"/>
      <c r="F3" s="8" t="n"/>
      <c r="G3" s="42" t="n"/>
      <c r="H3" s="42" t="n"/>
      <c r="I3" s="8" t="n"/>
      <c r="J3" s="8" t="n"/>
      <c r="K3" s="8" t="n"/>
    </row>
    <row r="4" ht="16.5" customHeight="1" s="10">
      <c r="A4" s="3" t="inlineStr">
        <is>
          <t>一般彈匣魔方</t>
        </is>
      </c>
      <c r="B4" s="43" t="n"/>
      <c r="C4" s="44" t="n"/>
      <c r="D4" s="45">
        <f>H1*H4</f>
        <v/>
      </c>
      <c r="F4" s="46">
        <f>J1*E4</f>
        <v/>
      </c>
      <c r="H4" s="40" t="n">
        <v>10</v>
      </c>
    </row>
    <row r="5" ht="16.5" customHeight="1" s="10">
      <c r="A5" s="3" t="inlineStr">
        <is>
          <t>黑色碎片2個</t>
        </is>
      </c>
      <c r="B5" s="43" t="n"/>
      <c r="C5" s="44" t="n"/>
      <c r="D5" s="43">
        <f>H1*H5</f>
        <v/>
      </c>
      <c r="F5" s="46">
        <f>J1*E5</f>
        <v/>
      </c>
      <c r="H5" s="40" t="n">
        <v>2</v>
      </c>
    </row>
    <row r="6" ht="16.5" customHeight="1" s="10">
      <c r="A6" s="3" t="inlineStr">
        <is>
          <t>[阿利爾] 防具選項轉換石3個</t>
        </is>
      </c>
      <c r="B6" s="43" t="n"/>
      <c r="C6" s="44" t="n"/>
      <c r="D6" s="43">
        <f>F1*F6</f>
        <v/>
      </c>
      <c r="E6">
        <f>29*3</f>
        <v/>
      </c>
      <c r="F6" s="46">
        <f>J1*E6</f>
        <v/>
      </c>
    </row>
    <row r="7" ht="16.5" customHeight="1" s="10">
      <c r="A7" s="3" t="inlineStr">
        <is>
          <t>[阿利爾] 防具選項備份卷1個</t>
        </is>
      </c>
      <c r="B7" s="43" t="n"/>
      <c r="C7" s="44" t="n"/>
      <c r="D7" s="43">
        <f>G7</f>
        <v/>
      </c>
      <c r="F7" s="46">
        <f>J1*E7</f>
        <v/>
      </c>
      <c r="G7" s="40" t="n">
        <v>100000000</v>
      </c>
    </row>
    <row r="8" ht="16.5" customHeight="1" s="10">
      <c r="A8" s="3" t="inlineStr">
        <is>
          <t>[阿利爾] 核心備份模塊1個</t>
        </is>
      </c>
      <c r="B8" s="43" t="n"/>
      <c r="C8" s="44" t="n"/>
      <c r="D8" s="43">
        <f>G8</f>
        <v/>
      </c>
      <c r="E8" t="n">
        <v>88</v>
      </c>
      <c r="F8" s="46" t="n"/>
      <c r="G8" s="40" t="n">
        <v>400000000</v>
      </c>
    </row>
    <row r="9" ht="16.5" customHeight="1" s="10">
      <c r="A9" s="3" t="inlineStr">
        <is>
          <t>每周鍛造材料1000個</t>
        </is>
      </c>
      <c r="B9" s="43" t="n"/>
      <c r="C9" s="44" t="n"/>
      <c r="D9" s="43">
        <f>G9</f>
        <v/>
      </c>
      <c r="F9" s="46">
        <f>E9*J1</f>
        <v/>
      </c>
      <c r="G9" s="40">
        <f>L1*100*1000</f>
        <v/>
      </c>
      <c r="I9" s="47" t="n"/>
      <c r="J9" s="47" t="n"/>
    </row>
    <row r="10" ht="16.5" customHeight="1" s="10">
      <c r="A10" s="2" t="inlineStr">
        <is>
          <t xml:space="preserve">層級二 </t>
        </is>
      </c>
      <c r="B10" s="48" t="n"/>
      <c r="C10" s="49" t="n"/>
      <c r="D10" s="48" t="n"/>
      <c r="E10" s="8" t="n"/>
      <c r="F10" s="8" t="n"/>
      <c r="G10" s="42" t="n"/>
      <c r="H10" s="42" t="n"/>
      <c r="I10" s="8" t="n"/>
      <c r="J10" s="8" t="n"/>
      <c r="K10" s="8" t="n"/>
    </row>
    <row r="11" ht="16.5" customHeight="1" s="10">
      <c r="A11" s="7" t="inlineStr">
        <is>
          <t>一般彈匣選擇箱</t>
        </is>
      </c>
      <c r="B11" s="43" t="n"/>
      <c r="C11" s="44" t="n"/>
      <c r="D11" s="43">
        <f>H1*H11</f>
        <v/>
      </c>
      <c r="H11" s="40" t="n">
        <v>20</v>
      </c>
    </row>
    <row r="12" ht="16.5" customHeight="1" s="10">
      <c r="A12" s="3" t="inlineStr">
        <is>
          <t>黑色碎片4個</t>
        </is>
      </c>
      <c r="B12" s="43" t="n"/>
      <c r="C12" s="44" t="n"/>
      <c r="D12" s="43">
        <f>H1*H12</f>
        <v/>
      </c>
      <c r="H12" s="40" t="n">
        <v>4</v>
      </c>
    </row>
    <row r="13" ht="16.5" customHeight="1" s="10">
      <c r="A13" s="3" t="inlineStr">
        <is>
          <t>[阿利爾] 防具選項轉換石5個</t>
        </is>
      </c>
      <c r="B13" s="43" t="n"/>
      <c r="C13" s="44" t="n"/>
      <c r="D13" s="43">
        <f>F1*F13</f>
        <v/>
      </c>
      <c r="E13">
        <f>29*5</f>
        <v/>
      </c>
      <c r="F13" s="46">
        <f>E13*J1</f>
        <v/>
      </c>
    </row>
    <row r="14" ht="16.5" customHeight="1" s="10">
      <c r="A14" s="3" t="inlineStr">
        <is>
          <t>[阿利爾] 防具選項備份卷3個</t>
        </is>
      </c>
      <c r="B14" s="43" t="n"/>
      <c r="C14" s="44" t="n"/>
      <c r="D14" s="43">
        <f>G14</f>
        <v/>
      </c>
      <c r="G14" s="40">
        <f>G7*3</f>
        <v/>
      </c>
    </row>
    <row r="15" ht="16.5" customHeight="1" s="10">
      <c r="A15" s="3" t="inlineStr">
        <is>
          <t>[阿利爾] 核心備份模塊3個</t>
        </is>
      </c>
      <c r="B15" s="43" t="n"/>
      <c r="C15" s="44" t="n"/>
      <c r="D15" s="43">
        <f>G15</f>
        <v/>
      </c>
      <c r="E15">
        <f>E16*3</f>
        <v/>
      </c>
      <c r="F15" s="46" t="n"/>
      <c r="G15" s="40">
        <f>G16*3</f>
        <v/>
      </c>
    </row>
    <row r="16" ht="16.5" customHeight="1" s="10">
      <c r="A16" s="3" t="inlineStr">
        <is>
          <t>核心備份模塊1個</t>
        </is>
      </c>
      <c r="B16" s="43" t="n"/>
      <c r="C16" s="44" t="n"/>
      <c r="D16" s="43">
        <f>G16</f>
        <v/>
      </c>
      <c r="E16" t="n">
        <v>88</v>
      </c>
      <c r="F16" s="46" t="n"/>
      <c r="G16" s="40" t="n">
        <v>400000000</v>
      </c>
    </row>
    <row r="17" ht="16.5" customHeight="1" s="10">
      <c r="A17" s="3" t="inlineStr">
        <is>
          <t>每周鍛造材料2000個</t>
        </is>
      </c>
      <c r="B17" s="43" t="n"/>
      <c r="C17" s="44" t="n"/>
      <c r="D17" s="43">
        <f>G17</f>
        <v/>
      </c>
      <c r="G17" s="40">
        <f>L1*100*2000</f>
        <v/>
      </c>
      <c r="I17" s="47" t="n"/>
      <c r="J17" s="47" t="n"/>
    </row>
    <row r="18" ht="16.5" customHeight="1" s="10">
      <c r="A18" s="2" t="inlineStr">
        <is>
          <t xml:space="preserve">層級三 </t>
        </is>
      </c>
      <c r="B18" s="48" t="n"/>
      <c r="C18" s="49" t="n"/>
      <c r="D18" s="48" t="n"/>
      <c r="E18" s="8" t="n"/>
      <c r="F18" s="8" t="n"/>
      <c r="G18" s="42" t="n"/>
      <c r="H18" s="42" t="n"/>
      <c r="I18" s="8" t="n"/>
      <c r="J18" s="8" t="n"/>
      <c r="K18" s="8" t="n"/>
    </row>
    <row r="19" ht="16.5" customHeight="1" s="10">
      <c r="A19" s="3" t="inlineStr">
        <is>
          <t>核心1個</t>
        </is>
      </c>
      <c r="B19" s="43" t="n"/>
      <c r="C19" s="44" t="n"/>
      <c r="D19" s="43">
        <f>H1*H19</f>
        <v/>
      </c>
      <c r="H19" s="40" t="n">
        <v>60</v>
      </c>
    </row>
    <row r="20" ht="16.5" customHeight="1" s="10">
      <c r="A20" s="3" t="inlineStr">
        <is>
          <t>[阿利爾] 內布隆原型選擇箱</t>
        </is>
      </c>
      <c r="B20" s="43" t="n"/>
      <c r="C20" s="44" t="n"/>
      <c r="D20" s="43">
        <f>H1*H20</f>
        <v/>
      </c>
      <c r="H20" s="40" t="n">
        <v>80</v>
      </c>
    </row>
    <row r="21" ht="16.5" customHeight="1" s="10">
      <c r="A21" s="3" t="inlineStr">
        <is>
          <t>超彈匣魔方</t>
        </is>
      </c>
      <c r="B21" s="43" t="n"/>
      <c r="C21" s="44" t="n"/>
      <c r="D21" s="43">
        <f>H1*H21</f>
        <v/>
      </c>
      <c r="H21" s="40" t="n">
        <v>40</v>
      </c>
    </row>
    <row r="22" ht="16.5" customHeight="1" s="10">
      <c r="A22" s="3" t="inlineStr">
        <is>
          <t>[阿利爾] 防具選項轉換石10個</t>
        </is>
      </c>
      <c r="B22" s="43" t="n"/>
      <c r="C22" s="44" t="n"/>
      <c r="D22" s="43">
        <f>F22*F1</f>
        <v/>
      </c>
      <c r="E22">
        <f>29*10</f>
        <v/>
      </c>
      <c r="F22" s="46">
        <f>E22*J1</f>
        <v/>
      </c>
    </row>
    <row r="23" ht="16.5" customHeight="1" s="10">
      <c r="A23" s="3" t="inlineStr">
        <is>
          <t>支援 &amp; 戰鬥 &amp; 通用彈匣選擇箱</t>
        </is>
      </c>
      <c r="B23" s="43" t="n"/>
      <c r="C23" s="44" t="n"/>
      <c r="D23" s="43">
        <f>H1*H23</f>
        <v/>
      </c>
      <c r="H23" s="40" t="n">
        <v>60</v>
      </c>
    </row>
    <row r="24" ht="16.5" customHeight="1" s="10">
      <c r="A24" s="3" t="inlineStr">
        <is>
          <t>[阿利爾] 核心備份模塊10個</t>
        </is>
      </c>
      <c r="B24" s="43" t="n"/>
      <c r="C24" s="44" t="n"/>
      <c r="D24" s="43">
        <f>G24</f>
        <v/>
      </c>
      <c r="E24">
        <f>E16*10</f>
        <v/>
      </c>
      <c r="G24" s="40">
        <f>G16*10</f>
        <v/>
      </c>
    </row>
    <row r="25" ht="16.5" customHeight="1" s="10">
      <c r="A25" s="3" t="inlineStr">
        <is>
          <t>核心備份模塊5個</t>
        </is>
      </c>
      <c r="B25" s="43" t="n"/>
      <c r="C25" s="44" t="n"/>
      <c r="D25" s="43">
        <f>G25</f>
        <v/>
      </c>
      <c r="E25">
        <f>E16*5</f>
        <v/>
      </c>
      <c r="G25" s="40">
        <f>G16*5</f>
        <v/>
      </c>
    </row>
    <row r="26" ht="16.5" customHeight="1" s="10">
      <c r="A26" s="2" t="inlineStr">
        <is>
          <t xml:space="preserve">層級四 </t>
        </is>
      </c>
      <c r="B26" s="48" t="n"/>
      <c r="C26" s="49" t="n"/>
      <c r="D26" s="48" t="n"/>
      <c r="E26" s="8" t="n"/>
      <c r="F26" s="8" t="n"/>
      <c r="G26" s="42" t="n"/>
      <c r="H26" s="42" t="n"/>
      <c r="I26" s="8" t="n"/>
      <c r="J26" s="8" t="n"/>
      <c r="K26" s="8" t="n"/>
    </row>
    <row r="27" ht="16.5" customHeight="1" s="10">
      <c r="A27" s="3" t="inlineStr">
        <is>
          <t>穩定的核心1個</t>
        </is>
      </c>
      <c r="B27" s="43" t="n"/>
      <c r="C27" s="44" t="n"/>
      <c r="D27" s="43">
        <f>H1*H27</f>
        <v/>
      </c>
      <c r="H27" s="40" t="n">
        <v>60</v>
      </c>
    </row>
    <row r="28" ht="16.5" customHeight="1" s="10">
      <c r="A28" s="3" t="inlineStr">
        <is>
          <t>內布隆原型選擇箱</t>
        </is>
      </c>
      <c r="B28" s="43" t="n"/>
      <c r="C28" s="44" t="n"/>
      <c r="D28" s="43">
        <f>H1*H28</f>
        <v/>
      </c>
      <c r="H28" s="40" t="n">
        <v>80</v>
      </c>
    </row>
    <row r="29" ht="16.5" customHeight="1" s="10">
      <c r="A29" s="3" t="inlineStr">
        <is>
          <t>超彈匣選擇箱</t>
        </is>
      </c>
      <c r="B29" s="43" t="n"/>
      <c r="C29" s="44" t="n"/>
      <c r="D29" s="43">
        <f>H1*H29</f>
        <v/>
      </c>
      <c r="H29" s="40" t="n">
        <v>100</v>
      </c>
    </row>
    <row r="30" ht="16.5" customHeight="1" s="10">
      <c r="A30" s="3" t="inlineStr">
        <is>
          <t>[阿利爾] 1%電路T板選擇箱</t>
        </is>
      </c>
      <c r="B30" s="43" t="n"/>
      <c r="C30" s="44" t="n"/>
      <c r="D30" s="43">
        <f>F1*F30</f>
        <v/>
      </c>
      <c r="F30" t="n">
        <v>1000</v>
      </c>
    </row>
    <row r="31" ht="16.5" customHeight="1" s="10">
      <c r="A31" s="3" t="inlineStr">
        <is>
          <t>[阿利爾] 1%電路L板選擇箱</t>
        </is>
      </c>
      <c r="B31" s="43" t="n"/>
      <c r="C31" s="44" t="n"/>
      <c r="D31" s="43">
        <f>F1*F31</f>
        <v/>
      </c>
      <c r="F31" t="n">
        <v>1000</v>
      </c>
    </row>
    <row r="32" ht="16.5" customHeight="1" s="10">
      <c r="A32" s="3" t="inlineStr">
        <is>
          <t>[阿利爾] 防具選項轉換石15個</t>
        </is>
      </c>
      <c r="B32" s="43" t="n"/>
      <c r="C32" s="44" t="n"/>
      <c r="D32" s="43">
        <f>F32*F1</f>
        <v/>
      </c>
      <c r="E32">
        <f>29*15</f>
        <v/>
      </c>
      <c r="F32" s="46">
        <f>E32*J1</f>
        <v/>
      </c>
    </row>
    <row r="33" ht="16.5" customHeight="1" s="10">
      <c r="A33" s="3" t="inlineStr">
        <is>
          <t>[阿利爾] 核心備份模塊15個</t>
        </is>
      </c>
      <c r="B33" s="43" t="n"/>
      <c r="C33" s="44" t="n"/>
      <c r="D33" s="43">
        <f>G33</f>
        <v/>
      </c>
      <c r="E33">
        <f>E16*15</f>
        <v/>
      </c>
      <c r="G33" s="40">
        <f>G16*15</f>
        <v/>
      </c>
    </row>
    <row r="34" ht="16.5" customHeight="1" s="10">
      <c r="A34" s="3" t="inlineStr">
        <is>
          <t>核心備份模塊7個</t>
        </is>
      </c>
      <c r="B34" s="43" t="n"/>
      <c r="C34" s="44" t="n"/>
      <c r="D34" s="43">
        <f>G34</f>
        <v/>
      </c>
      <c r="E34">
        <f>E16*7</f>
        <v/>
      </c>
      <c r="G34" s="40">
        <f>G16*7</f>
        <v/>
      </c>
    </row>
    <row r="35" ht="16.5" customHeight="1" s="10">
      <c r="A35" s="2" t="inlineStr">
        <is>
          <t xml:space="preserve">層級五 </t>
        </is>
      </c>
      <c r="B35" s="48" t="n"/>
      <c r="C35" s="49" t="n"/>
      <c r="D35" s="48" t="n"/>
      <c r="E35" s="8" t="n"/>
      <c r="F35" s="8" t="n"/>
      <c r="G35" s="42" t="n"/>
      <c r="H35" s="42" t="n"/>
      <c r="I35" s="8" t="n"/>
      <c r="J35" s="8" t="n"/>
      <c r="K35" s="8" t="n"/>
    </row>
    <row r="36" ht="16.5" customHeight="1" s="10">
      <c r="A36" s="3" t="inlineStr">
        <is>
          <t>[阿利爾] 死級詞條升級券1個</t>
        </is>
      </c>
      <c r="B36" s="43" t="n"/>
      <c r="C36" s="44" t="n"/>
      <c r="D36" s="43" t="inlineStr">
        <is>
          <t>TBA</t>
        </is>
      </c>
    </row>
    <row r="37" ht="16.5" customHeight="1" s="10">
      <c r="A37" s="3" t="inlineStr">
        <is>
          <t>[阿利爾] 防具詞條升級券1個</t>
        </is>
      </c>
      <c r="B37" s="43" t="n"/>
      <c r="C37" s="44" t="n"/>
      <c r="D37" s="43" t="inlineStr">
        <is>
          <t>TBA</t>
        </is>
      </c>
    </row>
    <row r="38" ht="16.5" customHeight="1" s="10">
      <c r="A38" s="3" t="inlineStr">
        <is>
          <t>[阿利爾] 複製電路選擇箱</t>
        </is>
      </c>
      <c r="B38" s="43" t="n"/>
      <c r="C38" s="44" t="n"/>
      <c r="D38" s="43">
        <f>F1*F38</f>
        <v/>
      </c>
      <c r="F38" t="n">
        <v>2000</v>
      </c>
    </row>
    <row r="39" ht="16.5" customHeight="1" s="10">
      <c r="A39" s="3" t="inlineStr">
        <is>
          <t>[阿利爾] 防具選項轉換石20個</t>
        </is>
      </c>
      <c r="B39" s="43" t="n"/>
      <c r="C39" s="44" t="n"/>
      <c r="D39" s="43">
        <f>F1*F39</f>
        <v/>
      </c>
      <c r="E39">
        <f>29*20</f>
        <v/>
      </c>
      <c r="F39" s="46">
        <f>E39*J1</f>
        <v/>
      </c>
    </row>
    <row r="40" ht="16.5" customHeight="1" s="10">
      <c r="A40" s="3" t="inlineStr">
        <is>
          <t>[阿利爾] 核心備份模塊20個</t>
        </is>
      </c>
      <c r="B40" s="43" t="n"/>
      <c r="C40" s="44" t="n"/>
      <c r="D40" s="43">
        <f>G40</f>
        <v/>
      </c>
      <c r="E40">
        <f>E16*20</f>
        <v/>
      </c>
      <c r="G40" s="40">
        <f>G16*20</f>
        <v/>
      </c>
    </row>
    <row r="41" ht="16.5" customHeight="1" s="10">
      <c r="A41" s="3" t="inlineStr">
        <is>
          <t>核心備份模塊10個</t>
        </is>
      </c>
      <c r="B41" s="43" t="n"/>
      <c r="C41" s="44" t="n"/>
      <c r="D41" s="43">
        <f>G41</f>
        <v/>
      </c>
      <c r="E41">
        <f>E16*10</f>
        <v/>
      </c>
      <c r="G41" s="40">
        <f>G16*10</f>
        <v/>
      </c>
    </row>
    <row r="42">
      <c r="A42" s="8" t="n"/>
      <c r="B42" s="50" t="n"/>
      <c r="C42" s="51" t="n"/>
      <c r="D42" s="50" t="n"/>
      <c r="E42" s="8" t="n"/>
      <c r="F42" s="8" t="n"/>
      <c r="G42" s="42" t="n"/>
      <c r="H42" s="42" t="n"/>
      <c r="I42" s="8" t="n"/>
      <c r="J42" s="8" t="n"/>
      <c r="K42" s="8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41"/>
  <sheetViews>
    <sheetView workbookViewId="0">
      <selection activeCell="B17" sqref="B17"/>
    </sheetView>
  </sheetViews>
  <sheetFormatPr baseColWidth="8" defaultRowHeight="15.75"/>
  <cols>
    <col width="9.140625" customWidth="1" style="10" min="2" max="2"/>
  </cols>
  <sheetData>
    <row r="2">
      <c r="A2" s="1" t="inlineStr">
        <is>
          <t>【黑暗精靈黑市 - 可能出現的拍賣品】</t>
        </is>
      </c>
    </row>
    <row r="3">
      <c r="A3" s="2" t="inlineStr">
        <is>
          <t xml:space="preserve">層級一 </t>
        </is>
      </c>
    </row>
    <row r="4">
      <c r="A4" s="3" t="inlineStr">
        <is>
          <t>一般彈匣魔方</t>
        </is>
      </c>
    </row>
    <row r="5">
      <c r="A5" s="3" t="inlineStr">
        <is>
          <t>黑色碎片2個</t>
        </is>
      </c>
    </row>
    <row r="6">
      <c r="A6" s="3" t="inlineStr">
        <is>
          <t>[阿利爾] 防具選項轉換石3個</t>
        </is>
      </c>
    </row>
    <row r="7">
      <c r="A7" s="3" t="inlineStr">
        <is>
          <t>[阿利爾] 防具選項備份卷1個</t>
        </is>
      </c>
    </row>
    <row r="8">
      <c r="A8" s="3" t="inlineStr">
        <is>
          <t>[阿利爾] 核心備份模塊1個</t>
        </is>
      </c>
    </row>
    <row r="9">
      <c r="A9" s="3" t="inlineStr">
        <is>
          <t>每周鍛造材料1000個</t>
        </is>
      </c>
    </row>
    <row r="10">
      <c r="A10" s="2" t="inlineStr">
        <is>
          <t xml:space="preserve">層級二 </t>
        </is>
      </c>
    </row>
    <row r="11">
      <c r="A11" s="3" t="inlineStr">
        <is>
          <t>彈匣魔方</t>
        </is>
      </c>
    </row>
    <row r="12">
      <c r="A12" s="3" t="inlineStr">
        <is>
          <t>黑色碎片4個</t>
        </is>
      </c>
    </row>
    <row r="13">
      <c r="A13" s="3" t="inlineStr">
        <is>
          <t>[阿利爾] 防具選項轉換石5個</t>
        </is>
      </c>
    </row>
    <row r="14">
      <c r="A14" s="3" t="inlineStr">
        <is>
          <t>[阿利爾] 防具選項備份卷3個</t>
        </is>
      </c>
    </row>
    <row r="15">
      <c r="A15" s="3" t="inlineStr">
        <is>
          <t>[阿利爾] 核心備份模塊3個</t>
        </is>
      </c>
    </row>
    <row r="16">
      <c r="A16" s="3" t="inlineStr">
        <is>
          <t>核心備份模塊1個</t>
        </is>
      </c>
    </row>
    <row r="17">
      <c r="A17" s="3" t="inlineStr">
        <is>
          <t>每周鍛造材料2000個</t>
        </is>
      </c>
    </row>
    <row r="18">
      <c r="A18" s="2" t="inlineStr">
        <is>
          <t xml:space="preserve">層級三 </t>
        </is>
      </c>
    </row>
    <row r="19">
      <c r="A19" s="3" t="inlineStr">
        <is>
          <t>核心1個</t>
        </is>
      </c>
    </row>
    <row r="20">
      <c r="A20" s="3" t="inlineStr">
        <is>
          <t>[阿利爾] 內布隆原型選擇箱</t>
        </is>
      </c>
    </row>
    <row r="21">
      <c r="A21" s="3" t="inlineStr">
        <is>
          <t>超彈匣魔方</t>
        </is>
      </c>
    </row>
    <row r="22">
      <c r="A22" s="3" t="inlineStr">
        <is>
          <t>[阿利爾] 防具選項轉換石10個</t>
        </is>
      </c>
    </row>
    <row r="23">
      <c r="A23" s="3" t="inlineStr">
        <is>
          <t>支援 &amp; 戰鬥 &amp; 通用彈匣選擇箱</t>
        </is>
      </c>
    </row>
    <row r="24">
      <c r="A24" s="3" t="inlineStr">
        <is>
          <t>[阿利爾] 核心備份模塊10個</t>
        </is>
      </c>
    </row>
    <row r="25">
      <c r="A25" s="3" t="inlineStr">
        <is>
          <t>核心備份模塊5個</t>
        </is>
      </c>
    </row>
    <row r="26">
      <c r="A26" s="2" t="inlineStr">
        <is>
          <t xml:space="preserve">層級四 </t>
        </is>
      </c>
    </row>
    <row r="27">
      <c r="A27" s="3" t="inlineStr">
        <is>
          <t>穩定的核心1個</t>
        </is>
      </c>
    </row>
    <row r="28">
      <c r="A28" s="3" t="inlineStr">
        <is>
          <t>內布隆原型選擇箱</t>
        </is>
      </c>
    </row>
    <row r="29">
      <c r="A29" s="3" t="inlineStr">
        <is>
          <t>超彈匣選擇箱</t>
        </is>
      </c>
    </row>
    <row r="30">
      <c r="A30" s="3" t="inlineStr">
        <is>
          <t>[阿利爾] 1%電路T板選擇箱</t>
        </is>
      </c>
    </row>
    <row r="31">
      <c r="A31" s="3" t="inlineStr">
        <is>
          <t>[阿利爾] 1%電路L板選擇箱</t>
        </is>
      </c>
    </row>
    <row r="32">
      <c r="A32" s="3" t="inlineStr">
        <is>
          <t>[阿利爾] 防具選項轉換石15個</t>
        </is>
      </c>
    </row>
    <row r="33">
      <c r="A33" s="3" t="inlineStr">
        <is>
          <t>[阿利爾] 核心備份模塊15個</t>
        </is>
      </c>
    </row>
    <row r="34">
      <c r="A34" s="3" t="inlineStr">
        <is>
          <t>核心備份模塊7個</t>
        </is>
      </c>
    </row>
    <row r="35">
      <c r="A35" s="2" t="inlineStr">
        <is>
          <t xml:space="preserve">層級五 </t>
        </is>
      </c>
    </row>
    <row r="36">
      <c r="A36" s="3" t="inlineStr">
        <is>
          <t>[阿利爾] 死級詞條升級券1個</t>
        </is>
      </c>
    </row>
    <row r="37">
      <c r="A37" s="3" t="inlineStr">
        <is>
          <t>[阿利爾] 防具詞條升級券1個</t>
        </is>
      </c>
    </row>
    <row r="38">
      <c r="A38" s="3" t="inlineStr">
        <is>
          <t>[阿利爾] 複製電路選擇箱</t>
        </is>
      </c>
    </row>
    <row r="39">
      <c r="A39" s="3" t="inlineStr">
        <is>
          <t>[阿利爾] 防具選項轉換石20個</t>
        </is>
      </c>
    </row>
    <row r="40">
      <c r="A40" s="3" t="inlineStr">
        <is>
          <t>[阿利爾] 核心備份模塊20個</t>
        </is>
      </c>
    </row>
    <row r="41">
      <c r="A41" s="3" t="inlineStr">
        <is>
          <t>核心備份模塊10個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tabSelected="1" zoomScale="85" zoomScaleNormal="85" workbookViewId="0">
      <selection activeCell="H11" sqref="H1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n"/>
      <c r="E1" s="52" t="n"/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/>
      <c r="E2" s="54" t="n"/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607753125</v>
      </c>
      <c r="E4" s="56" t="n">
        <v>840000000</v>
      </c>
      <c r="F4" s="56" t="n">
        <v>804057383</v>
      </c>
      <c r="G4" s="56" t="n">
        <v>1000000000</v>
      </c>
      <c r="H4" s="56" t="n">
        <v>738727721</v>
      </c>
      <c r="I4" s="56" t="n">
        <v>1276281562</v>
      </c>
      <c r="J4" s="56" t="n"/>
      <c r="K4" s="56" t="n"/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1039464085</v>
      </c>
      <c r="E5" s="56" t="n"/>
      <c r="F5" s="56" t="n"/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661500000</v>
      </c>
      <c r="E6" s="56" t="n">
        <v>281420083</v>
      </c>
      <c r="F6" s="56" t="n">
        <v>893397093</v>
      </c>
      <c r="G6" s="56" t="n"/>
      <c r="H6" s="56" t="n"/>
      <c r="I6" s="56" t="n"/>
      <c r="J6" s="56" t="n"/>
      <c r="K6" s="56" t="n"/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252000000</v>
      </c>
      <c r="E7" s="56" t="n"/>
      <c r="F7" s="56" t="n"/>
      <c r="G7" s="56" t="n"/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/>
      <c r="E8" s="56" t="n"/>
      <c r="F8" s="56" t="n"/>
      <c r="G8" s="56" t="n"/>
      <c r="H8" s="56" t="n"/>
      <c r="I8" s="56" t="n"/>
      <c r="J8" s="56" t="n"/>
      <c r="K8" s="56" t="n"/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422130125</v>
      </c>
      <c r="E9" s="56" t="n">
        <v>1100000000</v>
      </c>
      <c r="F9" s="56" t="n"/>
      <c r="G9" s="56" t="n"/>
      <c r="H9" s="56" t="n"/>
      <c r="I9" s="56" t="n"/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一般彈匣選擇箱</t>
        </is>
      </c>
      <c r="B11" s="43">
        <f>MIN(D11:K11)</f>
        <v/>
      </c>
      <c r="C11" s="44">
        <f>MAX(D11:K11)</f>
        <v/>
      </c>
      <c r="D11" s="43" t="n"/>
      <c r="E11" s="56" t="n"/>
      <c r="F11" s="56" t="n"/>
      <c r="G11" s="56" t="n"/>
      <c r="H11" s="56" t="n"/>
      <c r="I11" s="56" t="n"/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525000000</v>
      </c>
      <c r="E12" s="56" t="n">
        <v>670000000</v>
      </c>
      <c r="F12" s="56" t="n"/>
      <c r="G12" s="56" t="n"/>
      <c r="H12" s="56" t="n"/>
      <c r="I12" s="56" t="n"/>
      <c r="J12" s="56" t="n"/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600000000</v>
      </c>
      <c r="E13" s="56" t="n">
        <v>1102500000</v>
      </c>
      <c r="F13" s="56" t="n">
        <v>1102500000</v>
      </c>
      <c r="G13" s="56" t="n">
        <v>1157625000</v>
      </c>
      <c r="H13" s="56" t="n">
        <v>1215506250</v>
      </c>
      <c r="I13" s="56" t="n"/>
      <c r="J13" s="56" t="n"/>
      <c r="K13" s="56" t="n"/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703550211</v>
      </c>
      <c r="E14" s="56" t="n">
        <v>765768937</v>
      </c>
      <c r="F14" s="56" t="n">
        <v>1215506250</v>
      </c>
      <c r="G14" s="56" t="n"/>
      <c r="H14" s="56" t="n"/>
      <c r="I14" s="56" t="n"/>
      <c r="J14" s="56" t="n"/>
      <c r="K14" s="56" t="n"/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/>
      <c r="E15" s="56" t="n"/>
      <c r="F15" s="56" t="n"/>
      <c r="G15" s="56" t="n"/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>
        <v>100000000</v>
      </c>
      <c r="E16" s="56" t="n">
        <v>15000000</v>
      </c>
      <c r="F16" s="56" t="n">
        <v>105000000</v>
      </c>
      <c r="G16" s="56" t="n">
        <v>330750000</v>
      </c>
      <c r="H16" s="56" t="n">
        <v>100000000</v>
      </c>
      <c r="I16" s="56" t="n">
        <v>26250000</v>
      </c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864388452</v>
      </c>
      <c r="E17" s="56" t="n"/>
      <c r="F17" s="56" t="n"/>
      <c r="G17" s="56" t="n"/>
      <c r="H17" s="56" t="n"/>
      <c r="I17" s="56" t="n"/>
      <c r="J17" s="56" t="n"/>
      <c r="K17" s="56" t="n"/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>
        <v>26532977040</v>
      </c>
      <c r="E19" s="56" t="n">
        <v>18573083924</v>
      </c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>
        <v>2205000000</v>
      </c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3000000000</v>
      </c>
      <c r="E22" s="56" t="n"/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>
        <v>1575000000</v>
      </c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>
        <f>G41</f>
        <v/>
      </c>
      <c r="E41" s="56">
        <f>E16*10</f>
        <v/>
      </c>
      <c r="F41" s="56" t="n"/>
      <c r="G41" s="56">
        <f>G16*10</f>
        <v/>
      </c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"/>
  <sheetViews>
    <sheetView topLeftCell="A16" zoomScale="85" zoomScaleNormal="85" workbookViewId="0">
      <selection activeCell="G2" sqref="G2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inlineStr">
        <is>
          <t>成交ED名目紀錄</t>
        </is>
      </c>
      <c r="E1" s="52" t="inlineStr">
        <is>
          <t>ED比值</t>
        </is>
      </c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>
        <v>46291</v>
      </c>
      <c r="E2" s="54" t="n">
        <v>10000000</v>
      </c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607753125</v>
      </c>
      <c r="E4" s="56" t="n">
        <v>840000000</v>
      </c>
      <c r="F4" s="56" t="n">
        <v>804057383</v>
      </c>
      <c r="G4" s="56" t="n">
        <v>1000000000</v>
      </c>
      <c r="H4" s="56" t="n">
        <v>738727721</v>
      </c>
      <c r="I4" s="56" t="n">
        <v>1276281562</v>
      </c>
      <c r="J4" s="56" t="n"/>
      <c r="K4" s="56" t="n"/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1039464085</v>
      </c>
      <c r="E5" s="56" t="n"/>
      <c r="F5" s="56" t="n"/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661500000</v>
      </c>
      <c r="E6" s="56" t="n">
        <v>281420083</v>
      </c>
      <c r="F6" s="56" t="n">
        <v>893397093</v>
      </c>
      <c r="G6" s="56" t="n"/>
      <c r="H6" s="56" t="n"/>
      <c r="I6" s="56" t="n"/>
      <c r="J6" s="56" t="n"/>
      <c r="K6" s="56" t="n"/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252000000</v>
      </c>
      <c r="E7" s="56" t="n"/>
      <c r="F7" s="56" t="n"/>
      <c r="G7" s="56" t="n"/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/>
      <c r="E8" s="56" t="n"/>
      <c r="F8" s="56" t="n"/>
      <c r="G8" s="56" t="n"/>
      <c r="H8" s="56" t="n"/>
      <c r="I8" s="56" t="n"/>
      <c r="J8" s="56" t="n"/>
      <c r="K8" s="56" t="n"/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422130125</v>
      </c>
      <c r="E9" s="56" t="n">
        <v>1100000000</v>
      </c>
      <c r="F9" s="56" t="n"/>
      <c r="G9" s="56" t="n"/>
      <c r="H9" s="56" t="n"/>
      <c r="I9" s="56" t="n"/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一般彈匣選擇箱</t>
        </is>
      </c>
      <c r="B11" s="43">
        <f>MIN(D11:K11)</f>
        <v/>
      </c>
      <c r="C11" s="44">
        <f>MAX(D11:K11)</f>
        <v/>
      </c>
      <c r="D11" s="43" t="n"/>
      <c r="E11" s="56" t="n"/>
      <c r="F11" s="56" t="n"/>
      <c r="G11" s="56" t="n"/>
      <c r="H11" s="56" t="n"/>
      <c r="I11" s="56" t="n"/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525000000</v>
      </c>
      <c r="E12" s="56" t="n">
        <v>670000000</v>
      </c>
      <c r="F12" s="56" t="n"/>
      <c r="G12" s="56" t="n"/>
      <c r="H12" s="56" t="n"/>
      <c r="I12" s="56" t="n"/>
      <c r="J12" s="56" t="n"/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600000000</v>
      </c>
      <c r="E13" s="56" t="n">
        <v>1102500000</v>
      </c>
      <c r="F13" s="56" t="n">
        <v>1102500000</v>
      </c>
      <c r="G13" s="56" t="n">
        <v>1157625000</v>
      </c>
      <c r="H13" s="56" t="n">
        <v>1215506250</v>
      </c>
      <c r="I13" s="56" t="n"/>
      <c r="J13" s="56" t="n"/>
      <c r="K13" s="56" t="n"/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703550211</v>
      </c>
      <c r="E14" s="56" t="n">
        <v>765768937</v>
      </c>
      <c r="F14" s="56" t="n">
        <v>1215506250</v>
      </c>
      <c r="G14" s="56" t="n"/>
      <c r="H14" s="56" t="n"/>
      <c r="I14" s="56" t="n"/>
      <c r="J14" s="56" t="n"/>
      <c r="K14" s="56" t="n"/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/>
      <c r="E15" s="56" t="n"/>
      <c r="F15" s="56" t="n"/>
      <c r="G15" s="56" t="n"/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>
        <v>100000000</v>
      </c>
      <c r="E16" s="56" t="n">
        <v>15000000</v>
      </c>
      <c r="F16" s="56" t="n">
        <v>105000000</v>
      </c>
      <c r="G16" s="56" t="n">
        <v>330750000</v>
      </c>
      <c r="H16" s="56" t="n">
        <v>100000000</v>
      </c>
      <c r="I16" s="56" t="n">
        <v>26250000</v>
      </c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864388452</v>
      </c>
      <c r="E17" s="56" t="n"/>
      <c r="F17" s="56" t="n"/>
      <c r="G17" s="56" t="n"/>
      <c r="H17" s="56" t="n"/>
      <c r="I17" s="56" t="n"/>
      <c r="J17" s="56" t="n"/>
      <c r="K17" s="56" t="n"/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>
        <v>26532977040</v>
      </c>
      <c r="E19" s="56" t="n">
        <v>18573083924</v>
      </c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>
        <v>2205000000</v>
      </c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3000000000</v>
      </c>
      <c r="E22" s="56" t="n"/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>
        <v>1575000000</v>
      </c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>
        <f>G41</f>
        <v/>
      </c>
      <c r="E41" s="56">
        <f>E16*10</f>
        <v/>
      </c>
      <c r="F41" s="56" t="n"/>
      <c r="G41" s="56">
        <f>G16*10</f>
        <v/>
      </c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2015-06-05T18:19:34Z</dcterms:created>
  <dcterms:modified xsi:type="dcterms:W3CDTF">2026-09-28T16:03:54Z</dcterms:modified>
  <cp:lastModifiedBy>Winston Yixi</cp:lastModifiedBy>
</cp:coreProperties>
</file>