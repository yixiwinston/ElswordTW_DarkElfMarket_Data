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741A7CD8-9ECB-4FF0-B26C-02878106493D}" xr6:coauthVersionLast="47" xr6:coauthVersionMax="47" xr10:uidLastSave="{00000000-0000-0000-0000-000000000000}"/>
  <bookViews>
    <workbookView xWindow="-120" yWindow="-120" windowWidth="29040" windowHeight="15840" activeTab="11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  <sheet name="1007紀錄" sheetId="7" r:id="rId7"/>
    <sheet name="1010紀錄" sheetId="9" r:id="rId8"/>
    <sheet name="1014紀錄" sheetId="10" r:id="rId9"/>
    <sheet name="1017紀錄" sheetId="11" r:id="rId10"/>
    <sheet name="1021紀錄" sheetId="12" r:id="rId11"/>
    <sheet name="1024紀錄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3" l="1"/>
  <c r="B41" i="13"/>
  <c r="C40" i="13"/>
  <c r="B40" i="13"/>
  <c r="C39" i="13"/>
  <c r="B39" i="13"/>
  <c r="C38" i="13"/>
  <c r="B38" i="13"/>
  <c r="C37" i="13"/>
  <c r="B37" i="13"/>
  <c r="C36" i="13"/>
  <c r="B36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9" i="13"/>
  <c r="B9" i="13"/>
  <c r="C8" i="13"/>
  <c r="B8" i="13"/>
  <c r="C7" i="13"/>
  <c r="B7" i="13"/>
  <c r="C6" i="13"/>
  <c r="B6" i="13"/>
  <c r="C5" i="13"/>
  <c r="B5" i="13"/>
  <c r="C4" i="13"/>
  <c r="B4" i="13"/>
  <c r="C41" i="12"/>
  <c r="B41" i="12"/>
  <c r="C40" i="12"/>
  <c r="B40" i="12"/>
  <c r="C39" i="12"/>
  <c r="B39" i="12"/>
  <c r="C38" i="12"/>
  <c r="B38" i="12"/>
  <c r="C37" i="12"/>
  <c r="B37" i="12"/>
  <c r="C36" i="12"/>
  <c r="B36" i="12"/>
  <c r="C34" i="12"/>
  <c r="B34" i="12"/>
  <c r="C33" i="12"/>
  <c r="B33" i="12"/>
  <c r="C32" i="12"/>
  <c r="B32" i="12"/>
  <c r="C31" i="12"/>
  <c r="B31" i="12"/>
  <c r="C30" i="12"/>
  <c r="B30" i="12"/>
  <c r="C29" i="12"/>
  <c r="B29" i="12"/>
  <c r="C28" i="12"/>
  <c r="B28" i="12"/>
  <c r="C27" i="12"/>
  <c r="B27" i="12"/>
  <c r="C25" i="12"/>
  <c r="B25" i="12"/>
  <c r="C24" i="12"/>
  <c r="B24" i="12"/>
  <c r="C23" i="12"/>
  <c r="B23" i="12"/>
  <c r="C22" i="12"/>
  <c r="B22" i="12"/>
  <c r="C21" i="12"/>
  <c r="B21" i="12"/>
  <c r="C20" i="12"/>
  <c r="B20" i="12"/>
  <c r="C19" i="12"/>
  <c r="B19" i="12"/>
  <c r="C17" i="12"/>
  <c r="B17" i="12"/>
  <c r="C16" i="12"/>
  <c r="B16" i="12"/>
  <c r="C15" i="12"/>
  <c r="B15" i="12"/>
  <c r="C14" i="12"/>
  <c r="B14" i="12"/>
  <c r="C13" i="12"/>
  <c r="B13" i="12"/>
  <c r="C12" i="12"/>
  <c r="B12" i="12"/>
  <c r="C11" i="12"/>
  <c r="B11" i="12"/>
  <c r="C9" i="12"/>
  <c r="B9" i="12"/>
  <c r="C8" i="12"/>
  <c r="B8" i="12"/>
  <c r="C7" i="12"/>
  <c r="B7" i="12"/>
  <c r="C6" i="12"/>
  <c r="B6" i="12"/>
  <c r="C5" i="12"/>
  <c r="B5" i="12"/>
  <c r="C4" i="12"/>
  <c r="B4" i="12"/>
  <c r="C41" i="11"/>
  <c r="B41" i="11"/>
  <c r="C40" i="11"/>
  <c r="B40" i="11"/>
  <c r="C39" i="11"/>
  <c r="B39" i="11"/>
  <c r="C38" i="11"/>
  <c r="B38" i="11"/>
  <c r="C37" i="11"/>
  <c r="B37" i="11"/>
  <c r="C36" i="11"/>
  <c r="B36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9" i="11"/>
  <c r="B9" i="11"/>
  <c r="C8" i="11"/>
  <c r="B8" i="11"/>
  <c r="C7" i="11"/>
  <c r="B7" i="11"/>
  <c r="C6" i="11"/>
  <c r="B6" i="11"/>
  <c r="C5" i="11"/>
  <c r="B5" i="11"/>
  <c r="C4" i="11"/>
  <c r="B4" i="11"/>
  <c r="C41" i="10"/>
  <c r="B41" i="10"/>
  <c r="C40" i="10"/>
  <c r="B40" i="10"/>
  <c r="C39" i="10"/>
  <c r="B39" i="10"/>
  <c r="C38" i="10"/>
  <c r="B38" i="10"/>
  <c r="C37" i="10"/>
  <c r="B37" i="10"/>
  <c r="C36" i="10"/>
  <c r="B36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9" i="10"/>
  <c r="B9" i="10"/>
  <c r="C8" i="10"/>
  <c r="B8" i="10"/>
  <c r="C7" i="10"/>
  <c r="B7" i="10"/>
  <c r="C6" i="10"/>
  <c r="B6" i="10"/>
  <c r="C5" i="10"/>
  <c r="B5" i="10"/>
  <c r="C4" i="10"/>
  <c r="B4" i="10"/>
  <c r="C41" i="9"/>
  <c r="B41" i="9"/>
  <c r="C40" i="9"/>
  <c r="B40" i="9"/>
  <c r="C39" i="9"/>
  <c r="B39" i="9"/>
  <c r="C38" i="9"/>
  <c r="B38" i="9"/>
  <c r="C37" i="9"/>
  <c r="B37" i="9"/>
  <c r="C36" i="9"/>
  <c r="B36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9" i="9"/>
  <c r="B9" i="9"/>
  <c r="C8" i="9"/>
  <c r="B8" i="9"/>
  <c r="C7" i="9"/>
  <c r="B7" i="9"/>
  <c r="C6" i="9"/>
  <c r="B6" i="9"/>
  <c r="C5" i="9"/>
  <c r="B5" i="9"/>
  <c r="C4" i="9"/>
  <c r="B4" i="9"/>
  <c r="C41" i="7"/>
  <c r="B41" i="7"/>
  <c r="C40" i="7"/>
  <c r="B40" i="7"/>
  <c r="C39" i="7"/>
  <c r="B39" i="7"/>
  <c r="C38" i="7"/>
  <c r="B38" i="7"/>
  <c r="C37" i="7"/>
  <c r="B37" i="7"/>
  <c r="C36" i="7"/>
  <c r="B36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9" i="7"/>
  <c r="B9" i="7"/>
  <c r="C8" i="7"/>
  <c r="B8" i="7"/>
  <c r="C7" i="7"/>
  <c r="B7" i="7"/>
  <c r="C6" i="7"/>
  <c r="B6" i="7"/>
  <c r="C5" i="7"/>
  <c r="B5" i="7"/>
  <c r="C4" i="7"/>
  <c r="B4" i="7"/>
  <c r="C41" i="6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F39" i="1"/>
  <c r="D39" i="1" s="1"/>
  <c r="E39" i="1"/>
  <c r="D38" i="1"/>
  <c r="G34" i="1"/>
  <c r="D34" i="1" s="1"/>
  <c r="E34" i="1"/>
  <c r="G33" i="1"/>
  <c r="D33" i="1" s="1"/>
  <c r="E33" i="1"/>
  <c r="E32" i="1"/>
  <c r="F32" i="1" s="1"/>
  <c r="D32" i="1" s="1"/>
  <c r="D31" i="1"/>
  <c r="D30" i="1"/>
  <c r="D29" i="1"/>
  <c r="D28" i="1"/>
  <c r="D27" i="1"/>
  <c r="G25" i="1"/>
  <c r="E25" i="1"/>
  <c r="D25" i="1"/>
  <c r="G24" i="1"/>
  <c r="E24" i="1"/>
  <c r="D24" i="1"/>
  <c r="D23" i="1"/>
  <c r="F22" i="1"/>
  <c r="D22" i="1" s="1"/>
  <c r="E22" i="1"/>
  <c r="D21" i="1"/>
  <c r="D20" i="1"/>
  <c r="D19" i="1"/>
  <c r="G17" i="1"/>
  <c r="D17" i="1"/>
  <c r="D16" i="1"/>
  <c r="G15" i="1"/>
  <c r="E15" i="1"/>
  <c r="D15" i="1"/>
  <c r="G14" i="1"/>
  <c r="D14" i="1"/>
  <c r="E13" i="1"/>
  <c r="F13" i="1" s="1"/>
  <c r="D13" i="1" s="1"/>
  <c r="D12" i="1"/>
  <c r="D11" i="1"/>
  <c r="G9" i="1"/>
  <c r="D9" i="1" s="1"/>
  <c r="F9" i="1"/>
  <c r="D8" i="1"/>
  <c r="F7" i="1"/>
  <c r="D7" i="1"/>
  <c r="E6" i="1"/>
  <c r="F6" i="1" s="1"/>
  <c r="D6" i="1" s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5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41EE4B67-DA48-417B-A884-05839187B969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865CC89-8F3A-4DDA-89DF-695E3143993F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63F3312C-244E-4C78-9F00-2FC0BA037A22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202ACD26-8ED9-491C-8699-46C5B281D1DE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33381E55-2345-457E-80F3-C44652603E66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C9156D68-C1B6-494D-B2E2-734972E5D8F5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<sst xmlns="http://schemas.openxmlformats.org/spreadsheetml/2006/main" count="557" uniqueCount="60">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</sst>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-* #,##0_-;\-* #,##0_-;_-* &quot;-&quot;??_-;_-@_-"/>
    <numFmt numFmtId="177" formatCode="#,##0_);[Red]\(#,##0\)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6" fontId="0" fillId="0" borderId="0" xfId="1" applyNumberFormat="1" applyFont="1" applyAlignment="1"/>
    <xf numFmtId="43" fontId="0" fillId="0" borderId="0" xfId="1" applyFont="1" applyAlignment="1"/>
    <xf numFmtId="176" fontId="0" fillId="2" borderId="0" xfId="1" applyNumberFormat="1" applyFont="1" applyFill="1" applyAlignment="1"/>
    <xf numFmtId="176" fontId="7" fillId="0" borderId="0" xfId="1" applyNumberFormat="1" applyFont="1" applyAlignment="1">
      <alignment horizontal="left" vertical="center" indent="1"/>
    </xf>
    <xf numFmtId="176" fontId="7" fillId="0" borderId="1" xfId="1" applyNumberFormat="1" applyFont="1" applyBorder="1" applyAlignment="1">
      <alignment horizontal="left" vertical="center" indent="1"/>
    </xf>
    <xf numFmtId="176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7" fontId="0" fillId="0" borderId="0" xfId="1" applyNumberFormat="1" applyFont="1" applyAlignment="1"/>
    <xf numFmtId="176" fontId="7" fillId="2" borderId="0" xfId="1" applyNumberFormat="1" applyFont="1" applyFill="1" applyAlignment="1">
      <alignment horizontal="left"/>
    </xf>
    <xf numFmtId="176" fontId="7" fillId="2" borderId="1" xfId="1" applyNumberFormat="1" applyFont="1" applyFill="1" applyBorder="1" applyAlignment="1">
      <alignment horizontal="left"/>
    </xf>
    <xf numFmtId="176" fontId="8" fillId="2" borderId="0" xfId="1" applyNumberFormat="1" applyFont="1" applyFill="1" applyAlignment="1">
      <alignment horizontal="left"/>
    </xf>
    <xf numFmtId="176" fontId="8" fillId="2" borderId="1" xfId="1" applyNumberFormat="1" applyFont="1" applyFill="1" applyBorder="1" applyAlignment="1">
      <alignment horizontal="left"/>
    </xf>
    <xf numFmtId="176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6" fontId="6" fillId="0" borderId="0" xfId="1" applyNumberFormat="1" applyFont="1" applyAlignment="1">
      <alignment horizontal="right"/>
    </xf>
    <xf numFmtId="176" fontId="7" fillId="2" borderId="0" xfId="1" applyNumberFormat="1" applyFont="1" applyFill="1" applyAlignment="1"/>
    <xf numFmtId="176" fontId="7" fillId="0" borderId="0" xfId="1" applyNumberFormat="1" applyFont="1" applyAlignment="1"/>
    <xf numFmtId="176" fontId="7" fillId="2" borderId="0" xfId="1" applyNumberFormat="1" applyFont="1" applyFill="1" applyAlignment="1">
      <alignment horizontal="left" vertical="center" indent="1"/>
    </xf>
    <xf numFmtId="176" fontId="7" fillId="2" borderId="1" xfId="1" applyNumberFormat="1" applyFont="1" applyFill="1" applyBorder="1" applyAlignment="1">
      <alignment horizontal="left" vertical="center" indent="1"/>
    </xf>
    <xf numFmtId="176" fontId="7" fillId="0" borderId="0" xfId="1" applyNumberFormat="1" applyFont="1" applyFill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2205000000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140710041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607753125</v>
      </c>
      <c r="C4" s="20">
        <f t="shared" ref="C4:C9" si="1">MAX(D4:AZ4)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2205000000</v>
      </c>
      <c r="C11" s="20">
        <f t="shared" ref="C11:C17" si="3">MAX(D11:AZ11)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18573083924</v>
      </c>
      <c r="C19" s="20">
        <f t="shared" ref="C19:C25" si="5">MAX(D19:AZ19)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MIN(D4:AZ4)</f>
        <v>100000000</v>
      </c>
      <c r="C4" s="20">
        <f t="shared" ref="C4:C9" si="1">MAX(D4:AZ4)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11025000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8"/>
  <sheetViews>
    <sheetView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735000000</v>
      </c>
      <c r="C4" s="20">
        <f t="shared" ref="C4:C9" si="1">MAX(D4:AZ4)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22920183169</v>
      </c>
      <c r="C19" s="20">
        <f t="shared" ref="C19:C25" si="5">MAX(D19:AZ19)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987DC-74A4-4421-A428-F4133664F24B}">
  <dimension ref="A1:M78"/>
  <sheetViews>
    <sheetView topLeftCell="A16" workbookViewId="0">
      <selection activeCell="J17" sqref="J1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16.140625" style="7" customWidth="1"/>
    <col min="13" max="13" width="15.42578125" style="7" bestFit="1" customWidth="1"/>
    <col min="14" max="16384" width="9.140625" style="7"/>
  </cols>
  <sheetData>
    <row r="1" spans="1:13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3" ht="16.5" customHeight="1">
      <c r="A2" s="1" t="s">
        <v>7</v>
      </c>
      <c r="B2" s="8" t="s">
        <v>8</v>
      </c>
      <c r="C2" s="9" t="s">
        <v>8</v>
      </c>
      <c r="D2" s="29">
        <v>46302</v>
      </c>
      <c r="E2" s="30">
        <v>9500000</v>
      </c>
    </row>
    <row r="3" spans="1:13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3" ht="16.5" customHeight="1">
      <c r="A4" s="3" t="s">
        <v>18</v>
      </c>
      <c r="B4" s="19">
        <f t="shared" ref="B4:B9" si="0">MIN(D4:AZ4)</f>
        <v>300000000</v>
      </c>
      <c r="C4" s="20">
        <f t="shared" ref="C4:C9" si="1">MAX(D4:AZ4)</f>
        <v>2000000000</v>
      </c>
      <c r="D4" s="21">
        <v>777777777</v>
      </c>
      <c r="E4" s="32">
        <v>525000000</v>
      </c>
      <c r="F4" s="32">
        <v>1500000000</v>
      </c>
      <c r="G4" s="32">
        <v>2000000000</v>
      </c>
      <c r="H4" s="32">
        <v>300000000</v>
      </c>
      <c r="I4" s="32">
        <v>630000000</v>
      </c>
      <c r="J4" s="32"/>
      <c r="K4" s="32"/>
    </row>
    <row r="5" spans="1:13" ht="16.5" customHeight="1">
      <c r="A5" s="3" t="s">
        <v>19</v>
      </c>
      <c r="B5" s="19">
        <f t="shared" si="0"/>
        <v>300000000</v>
      </c>
      <c r="C5" s="20">
        <f t="shared" si="1"/>
        <v>2100000000</v>
      </c>
      <c r="D5" s="19">
        <v>765768937</v>
      </c>
      <c r="E5" s="32">
        <v>765768937</v>
      </c>
      <c r="F5" s="32">
        <v>2100000000</v>
      </c>
      <c r="G5" s="32">
        <v>795989301</v>
      </c>
      <c r="H5" s="32">
        <v>300000000</v>
      </c>
      <c r="I5" s="32"/>
      <c r="J5" s="32"/>
      <c r="K5" s="32"/>
    </row>
    <row r="6" spans="1:13" ht="16.5" customHeight="1">
      <c r="A6" s="3" t="s">
        <v>20</v>
      </c>
      <c r="B6" s="19">
        <f t="shared" si="0"/>
        <v>441000000</v>
      </c>
      <c r="C6" s="20">
        <f t="shared" si="1"/>
        <v>1005071729</v>
      </c>
      <c r="D6" s="19">
        <v>441000000</v>
      </c>
      <c r="E6" s="32">
        <v>1005071729</v>
      </c>
      <c r="F6" s="32">
        <v>838066268</v>
      </c>
      <c r="G6" s="32">
        <v>890000000</v>
      </c>
      <c r="H6" s="32"/>
      <c r="I6" s="32"/>
      <c r="J6" s="32"/>
      <c r="K6" s="32"/>
    </row>
    <row r="7" spans="1:13" ht="16.5" customHeight="1">
      <c r="A7" s="3" t="s">
        <v>21</v>
      </c>
      <c r="B7" s="19">
        <f t="shared" si="0"/>
        <v>36465187</v>
      </c>
      <c r="C7" s="20">
        <f t="shared" si="1"/>
        <v>711134520</v>
      </c>
      <c r="D7" s="19">
        <v>36465187</v>
      </c>
      <c r="E7" s="32">
        <v>200000000</v>
      </c>
      <c r="F7" s="32">
        <v>176400000</v>
      </c>
      <c r="G7" s="32">
        <v>268019127</v>
      </c>
      <c r="H7" s="32">
        <v>107207651</v>
      </c>
      <c r="I7" s="32">
        <v>115762500</v>
      </c>
      <c r="J7" s="32">
        <v>711134520</v>
      </c>
      <c r="K7" s="32">
        <v>205806755</v>
      </c>
    </row>
    <row r="8" spans="1:13" ht="16.5" customHeight="1">
      <c r="A8" s="3" t="s">
        <v>22</v>
      </c>
      <c r="B8" s="19">
        <f t="shared" si="0"/>
        <v>10000000</v>
      </c>
      <c r="C8" s="20">
        <f t="shared" si="1"/>
        <v>204768234</v>
      </c>
      <c r="D8" s="19">
        <v>10000000</v>
      </c>
      <c r="E8" s="32">
        <v>21106504</v>
      </c>
      <c r="F8" s="32">
        <v>31500000</v>
      </c>
      <c r="G8" s="32">
        <v>100000000</v>
      </c>
      <c r="H8" s="32">
        <v>200000000</v>
      </c>
      <c r="I8" s="32">
        <v>18995852</v>
      </c>
      <c r="J8" s="32">
        <v>10500000</v>
      </c>
      <c r="K8" s="32">
        <v>12023970</v>
      </c>
      <c r="L8" s="35">
        <v>204768234</v>
      </c>
      <c r="M8" s="35">
        <v>50000000</v>
      </c>
    </row>
    <row r="9" spans="1:13" ht="16.5" customHeight="1">
      <c r="A9" s="3" t="s">
        <v>23</v>
      </c>
      <c r="B9" s="19">
        <f t="shared" si="0"/>
        <v>402028691</v>
      </c>
      <c r="C9" s="20">
        <f t="shared" si="1"/>
        <v>3675000000</v>
      </c>
      <c r="D9" s="19">
        <v>3675000000</v>
      </c>
      <c r="E9" s="32">
        <v>3000000000</v>
      </c>
      <c r="F9" s="32">
        <v>2500000000</v>
      </c>
      <c r="G9" s="32">
        <v>2500000000</v>
      </c>
      <c r="H9" s="32">
        <v>402028691</v>
      </c>
      <c r="I9" s="32"/>
      <c r="J9" s="32"/>
      <c r="K9" s="32"/>
    </row>
    <row r="10" spans="1:13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3" ht="16.5" customHeight="1">
      <c r="A11" s="5" t="s">
        <v>25</v>
      </c>
      <c r="B11" s="19">
        <f t="shared" ref="B11:B17" si="2">MIN(D11:AZ11)</f>
        <v>551250000</v>
      </c>
      <c r="C11" s="20">
        <f t="shared" ref="C11:C17" si="3">MAX(D11:AZ11)</f>
        <v>2526950187</v>
      </c>
      <c r="D11" s="19">
        <v>900374997</v>
      </c>
      <c r="E11" s="32">
        <v>1551328215</v>
      </c>
      <c r="F11" s="32">
        <v>1365000000</v>
      </c>
      <c r="G11" s="32">
        <v>551250000</v>
      </c>
      <c r="H11" s="32">
        <v>2526950187</v>
      </c>
      <c r="I11" s="32"/>
      <c r="J11" s="32"/>
      <c r="K11" s="32"/>
    </row>
    <row r="12" spans="1:13" ht="16.5" customHeight="1">
      <c r="A12" s="3" t="s">
        <v>26</v>
      </c>
      <c r="B12" s="19">
        <f t="shared" si="2"/>
        <v>2881294894</v>
      </c>
      <c r="C12" s="20">
        <f t="shared" si="3"/>
        <v>3102656431</v>
      </c>
      <c r="D12" s="19">
        <v>3102656431</v>
      </c>
      <c r="E12" s="32">
        <v>2881294894</v>
      </c>
      <c r="F12" s="32"/>
      <c r="G12" s="32"/>
      <c r="H12" s="32"/>
      <c r="I12" s="32"/>
      <c r="J12" s="32"/>
      <c r="K12" s="32"/>
    </row>
    <row r="13" spans="1:13" ht="16.5" customHeight="1">
      <c r="A13" s="3" t="s">
        <v>27</v>
      </c>
      <c r="B13" s="19">
        <f t="shared" si="2"/>
        <v>1260000000</v>
      </c>
      <c r="C13" s="20">
        <f t="shared" si="3"/>
        <v>2000000000</v>
      </c>
      <c r="D13" s="19">
        <v>1260000000</v>
      </c>
      <c r="E13" s="32">
        <v>2000000000</v>
      </c>
      <c r="F13" s="32"/>
      <c r="G13" s="32"/>
      <c r="H13" s="32"/>
      <c r="I13" s="32"/>
      <c r="J13" s="32"/>
      <c r="K13" s="32"/>
    </row>
    <row r="14" spans="1:13" ht="16.5" customHeight="1">
      <c r="A14" s="3" t="s">
        <v>28</v>
      </c>
      <c r="B14" s="19">
        <f t="shared" si="2"/>
        <v>121550625</v>
      </c>
      <c r="C14" s="20">
        <f t="shared" si="3"/>
        <v>955301175</v>
      </c>
      <c r="D14" s="19">
        <v>717727500</v>
      </c>
      <c r="E14" s="32">
        <v>651557848</v>
      </c>
      <c r="F14" s="32">
        <v>121550625</v>
      </c>
      <c r="G14" s="32">
        <v>955301175</v>
      </c>
      <c r="H14" s="32"/>
      <c r="I14" s="32"/>
      <c r="J14" s="32"/>
      <c r="K14" s="32"/>
    </row>
    <row r="15" spans="1:13" ht="16.5" customHeight="1">
      <c r="A15" s="3" t="s">
        <v>29</v>
      </c>
      <c r="B15" s="19">
        <f t="shared" si="2"/>
        <v>42000000</v>
      </c>
      <c r="C15" s="20">
        <f t="shared" si="3"/>
        <v>525000000</v>
      </c>
      <c r="D15" s="19">
        <v>146999995</v>
      </c>
      <c r="E15" s="32">
        <v>127628156</v>
      </c>
      <c r="F15" s="32">
        <v>150000000</v>
      </c>
      <c r="G15" s="32">
        <v>42000000</v>
      </c>
      <c r="H15" s="32">
        <v>55125000</v>
      </c>
      <c r="I15" s="32">
        <v>525000000</v>
      </c>
      <c r="J15" s="32"/>
      <c r="K15" s="32"/>
    </row>
    <row r="16" spans="1:13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3150000000</v>
      </c>
      <c r="C17" s="20">
        <f t="shared" si="3"/>
        <v>7717500000</v>
      </c>
      <c r="D17" s="19">
        <v>7717500000</v>
      </c>
      <c r="E17" s="32">
        <v>4020286921</v>
      </c>
      <c r="F17" s="32">
        <v>4410000000</v>
      </c>
      <c r="G17" s="32">
        <v>3150000000</v>
      </c>
      <c r="H17" s="32">
        <v>7147412178</v>
      </c>
      <c r="I17" s="32">
        <v>4432366330</v>
      </c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25269501943</v>
      </c>
      <c r="C19" s="20">
        <f t="shared" ref="C19:C25" si="5">MAX(D19:AZ19)</f>
        <v>28284737128</v>
      </c>
      <c r="D19" s="19">
        <v>25269501943</v>
      </c>
      <c r="E19" s="32">
        <v>28284737128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9450000000</v>
      </c>
      <c r="C20" s="20">
        <f t="shared" si="5"/>
        <v>9450000000</v>
      </c>
      <c r="D20" s="19">
        <v>9450000000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4813238460</v>
      </c>
      <c r="C32" s="20">
        <f t="shared" si="7"/>
        <v>4813238460</v>
      </c>
      <c r="D32" s="19">
        <v>4813238460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323F9-41D5-4139-92C7-AE51243BDFD2}">
  <dimension ref="A1:K78"/>
  <sheetViews>
    <sheetView workbookViewId="0">
      <selection activeCell="E24" sqref="E2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46305</v>
      </c>
      <c r="E2" s="30">
        <v>9000000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MIN(D4:AZ4)</f>
        <v>150000000</v>
      </c>
      <c r="C4" s="20">
        <f t="shared" ref="C4:C9" si="1">MAX(D4:AZ4)</f>
        <v>1575000000</v>
      </c>
      <c r="D4" s="21">
        <v>210000000</v>
      </c>
      <c r="E4" s="32">
        <v>150000000</v>
      </c>
      <c r="F4" s="32">
        <v>630000000</v>
      </c>
      <c r="G4" s="32">
        <v>1575000000</v>
      </c>
      <c r="H4" s="32">
        <v>972405006</v>
      </c>
      <c r="I4" s="32"/>
      <c r="J4" s="32"/>
      <c r="K4" s="32"/>
    </row>
    <row r="5" spans="1:11" ht="16.5" customHeight="1">
      <c r="A5" s="3" t="s">
        <v>19</v>
      </c>
      <c r="B5" s="19">
        <f t="shared" si="0"/>
        <v>347287500</v>
      </c>
      <c r="C5" s="20">
        <f t="shared" si="1"/>
        <v>1407100422</v>
      </c>
      <c r="D5" s="19">
        <v>347287500</v>
      </c>
      <c r="E5" s="32">
        <v>415785631</v>
      </c>
      <c r="F5" s="32">
        <v>443236631</v>
      </c>
      <c r="G5" s="32">
        <v>1157625000</v>
      </c>
      <c r="H5" s="32">
        <v>1407100422</v>
      </c>
      <c r="I5" s="32">
        <v>651557848</v>
      </c>
      <c r="J5" s="32">
        <v>735000000</v>
      </c>
      <c r="K5" s="32"/>
    </row>
    <row r="6" spans="1:11" ht="16.5" customHeight="1">
      <c r="A6" s="3" t="s">
        <v>20</v>
      </c>
      <c r="B6" s="19">
        <f t="shared" si="0"/>
        <v>800000000</v>
      </c>
      <c r="C6" s="20">
        <f t="shared" si="1"/>
        <v>926100000</v>
      </c>
      <c r="D6" s="19">
        <v>926100000</v>
      </c>
      <c r="E6" s="32">
        <v>810337500</v>
      </c>
      <c r="F6" s="32">
        <v>804057383</v>
      </c>
      <c r="G6" s="32">
        <v>850854375</v>
      </c>
      <c r="H6" s="32">
        <v>800000000</v>
      </c>
      <c r="I6" s="32">
        <v>804057383</v>
      </c>
      <c r="J6" s="32"/>
      <c r="K6" s="32"/>
    </row>
    <row r="7" spans="1:11" ht="16.5" customHeight="1">
      <c r="A7" s="3" t="s">
        <v>21</v>
      </c>
      <c r="B7" s="19">
        <f>MIN(D7:AZ7)</f>
        <v>55125000</v>
      </c>
      <c r="C7" s="20">
        <f>MAX(D7:AZ7)</f>
        <v>463050000</v>
      </c>
      <c r="D7" s="19">
        <v>315000000</v>
      </c>
      <c r="E7" s="32">
        <v>463050000</v>
      </c>
      <c r="F7" s="32">
        <v>355567255</v>
      </c>
      <c r="G7" s="32">
        <v>55125000</v>
      </c>
      <c r="H7" s="32">
        <v>315000000</v>
      </c>
      <c r="I7" s="32">
        <v>369363859</v>
      </c>
      <c r="J7" s="32"/>
      <c r="K7" s="32"/>
    </row>
    <row r="8" spans="1:11" ht="16.5" customHeight="1">
      <c r="A8" s="3" t="s">
        <v>22</v>
      </c>
      <c r="B8" s="19">
        <f t="shared" si="0"/>
        <v>50000000</v>
      </c>
      <c r="C8" s="20">
        <f t="shared" si="1"/>
        <v>200000000</v>
      </c>
      <c r="D8" s="19">
        <v>200000000</v>
      </c>
      <c r="E8" s="32">
        <v>100000000</v>
      </c>
      <c r="F8" s="32">
        <v>115762500</v>
      </c>
      <c r="G8" s="32">
        <v>73872769</v>
      </c>
      <c r="H8" s="32">
        <v>150000000</v>
      </c>
      <c r="I8" s="32">
        <v>50000000</v>
      </c>
      <c r="J8" s="32"/>
      <c r="K8" s="32"/>
    </row>
    <row r="9" spans="1:11" ht="16.5" customHeight="1">
      <c r="A9" s="3" t="s">
        <v>23</v>
      </c>
      <c r="B9" s="19">
        <f t="shared" si="0"/>
        <v>938066947</v>
      </c>
      <c r="C9" s="20">
        <f t="shared" si="1"/>
        <v>5131018071</v>
      </c>
      <c r="D9" s="19">
        <v>938066947</v>
      </c>
      <c r="E9" s="32">
        <v>1500000000</v>
      </c>
      <c r="F9" s="32">
        <v>5131018071</v>
      </c>
      <c r="G9" s="32">
        <v>1241062570</v>
      </c>
      <c r="H9" s="32">
        <v>2110650633</v>
      </c>
      <c r="I9" s="32">
        <v>2100000000</v>
      </c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MIN(D11:AZ11)</f>
        <v>1050000000</v>
      </c>
      <c r="C11" s="20">
        <f t="shared" ref="C11:C17" si="3">MAX(D11:AZ11)</f>
        <v>2010143460</v>
      </c>
      <c r="D11" s="19">
        <v>2010143460</v>
      </c>
      <c r="E11" s="32">
        <v>1500000000</v>
      </c>
      <c r="F11" s="32">
        <v>1050000000</v>
      </c>
      <c r="G11" s="32">
        <v>1072076512</v>
      </c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775664107</v>
      </c>
      <c r="C12" s="20">
        <f t="shared" si="3"/>
        <v>2526950187</v>
      </c>
      <c r="D12" s="19">
        <v>775664107</v>
      </c>
      <c r="E12" s="32">
        <v>1688520506</v>
      </c>
      <c r="F12" s="32">
        <v>2526950187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1102500000</v>
      </c>
      <c r="C13" s="20">
        <f t="shared" si="3"/>
        <v>1340095640</v>
      </c>
      <c r="D13" s="19">
        <v>1340095640</v>
      </c>
      <c r="E13" s="32">
        <v>1157625000</v>
      </c>
      <c r="F13" s="32">
        <v>1102500000</v>
      </c>
      <c r="G13" s="32"/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422130125</v>
      </c>
      <c r="C14" s="20">
        <f t="shared" si="3"/>
        <v>1000000000</v>
      </c>
      <c r="D14" s="19">
        <v>1000000000</v>
      </c>
      <c r="E14" s="32">
        <v>422130125</v>
      </c>
      <c r="F14" s="32">
        <v>607753125</v>
      </c>
      <c r="G14" s="32">
        <v>765768937</v>
      </c>
      <c r="H14" s="32">
        <v>703550211</v>
      </c>
      <c r="I14" s="32"/>
      <c r="J14" s="32"/>
      <c r="K14" s="32"/>
    </row>
    <row r="15" spans="1:11" ht="16.5" customHeight="1">
      <c r="A15" s="3" t="s">
        <v>29</v>
      </c>
      <c r="B15" s="19">
        <f t="shared" si="2"/>
        <v>100000000</v>
      </c>
      <c r="C15" s="20">
        <f t="shared" si="3"/>
        <v>200000000</v>
      </c>
      <c r="D15" s="19">
        <v>134009563</v>
      </c>
      <c r="E15" s="32">
        <v>130000000</v>
      </c>
      <c r="F15" s="32">
        <v>115762500</v>
      </c>
      <c r="G15" s="32">
        <v>200000000</v>
      </c>
      <c r="H15" s="32">
        <v>129355519</v>
      </c>
      <c r="I15" s="32">
        <v>110250000</v>
      </c>
      <c r="J15" s="32">
        <v>100000000</v>
      </c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2828473709</v>
      </c>
      <c r="C17" s="20">
        <f t="shared" si="3"/>
        <v>4693325764</v>
      </c>
      <c r="D17" s="19">
        <v>4693325764</v>
      </c>
      <c r="E17" s="32">
        <v>2828473709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17958563256</v>
      </c>
      <c r="C20" s="20">
        <f t="shared" si="5"/>
        <v>39201291365</v>
      </c>
      <c r="D20" s="19">
        <v>39201291365</v>
      </c>
      <c r="E20" s="32">
        <v>31183922683</v>
      </c>
      <c r="F20" s="32">
        <v>17958563256</v>
      </c>
      <c r="G20" s="32">
        <v>19155858415</v>
      </c>
      <c r="H20" s="32">
        <v>33431551073</v>
      </c>
      <c r="I20" s="32"/>
      <c r="J20" s="32"/>
      <c r="K20" s="32"/>
    </row>
    <row r="21" spans="1:11" ht="16.5" customHeight="1">
      <c r="A21" s="3" t="s">
        <v>35</v>
      </c>
      <c r="B21" s="19">
        <f t="shared" si="4"/>
        <v>4254271875</v>
      </c>
      <c r="C21" s="20">
        <f t="shared" si="5"/>
        <v>4254271875</v>
      </c>
      <c r="D21" s="19">
        <v>4254271875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1984500000</v>
      </c>
      <c r="C22" s="20">
        <f t="shared" si="5"/>
        <v>1984500000</v>
      </c>
      <c r="D22" s="19">
        <v>1984500000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31183922683</v>
      </c>
      <c r="C27" s="20">
        <f t="shared" ref="C27:C34" si="7">MAX(D27:AZ27)</f>
        <v>31183922683</v>
      </c>
      <c r="D27" s="19">
        <v>31183922683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A78-9C2A-4880-92F8-630536B2A945}">
  <dimension ref="A1:N78"/>
  <sheetViews>
    <sheetView workbookViewId="0">
      <selection activeCell="G26" sqref="G26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46309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505390030</v>
      </c>
      <c r="C4" s="20">
        <f t="shared" ref="C4:C9" si="1">MAX(D4:AZ4)</f>
        <v>2016726678</v>
      </c>
      <c r="D4" s="21">
        <v>505390030</v>
      </c>
      <c r="E4" s="32">
        <v>551250000</v>
      </c>
      <c r="F4" s="32">
        <v>593979474</v>
      </c>
      <c r="G4" s="32">
        <v>525000000</v>
      </c>
      <c r="H4" s="32">
        <v>2016726678</v>
      </c>
      <c r="I4" s="32"/>
      <c r="J4" s="32"/>
      <c r="K4" s="32"/>
    </row>
    <row r="5" spans="1:14" ht="16.5" customHeight="1">
      <c r="A5" s="3" t="s">
        <v>19</v>
      </c>
      <c r="B5" s="19">
        <f t="shared" si="0"/>
        <v>124106255</v>
      </c>
      <c r="C5" s="20">
        <f t="shared" si="1"/>
        <v>600000000</v>
      </c>
      <c r="D5" s="19">
        <v>124106255</v>
      </c>
      <c r="E5" s="32">
        <v>359171262</v>
      </c>
      <c r="F5" s="32">
        <v>600000000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578812500</v>
      </c>
      <c r="C6" s="20">
        <f t="shared" si="1"/>
        <v>1050000000</v>
      </c>
      <c r="D6" s="19">
        <v>620000000</v>
      </c>
      <c r="E6" s="32">
        <v>735000000</v>
      </c>
      <c r="F6" s="32">
        <v>800000000</v>
      </c>
      <c r="G6" s="32">
        <v>578812500</v>
      </c>
      <c r="H6" s="32">
        <v>1050000000</v>
      </c>
      <c r="I6" s="32"/>
      <c r="J6" s="32"/>
      <c r="K6" s="32"/>
    </row>
    <row r="7" spans="1:14" ht="16.5" customHeight="1">
      <c r="A7" s="3" t="s">
        <v>21</v>
      </c>
      <c r="B7" s="19">
        <f>MIN(D7:AZ7)</f>
        <v>500000000</v>
      </c>
      <c r="C7" s="20">
        <f>MAX(D7:AZ7)</f>
        <v>500000000</v>
      </c>
      <c r="D7" s="19">
        <v>500000000</v>
      </c>
      <c r="E7" s="32"/>
      <c r="F7" s="32"/>
      <c r="G7" s="32"/>
      <c r="H7" s="32"/>
      <c r="I7" s="32"/>
      <c r="J7" s="32"/>
      <c r="K7" s="32"/>
    </row>
    <row r="8" spans="1:14" ht="16.5" customHeight="1">
      <c r="A8" s="3" t="s">
        <v>22</v>
      </c>
      <c r="B8" s="19">
        <f t="shared" si="0"/>
        <v>11025000</v>
      </c>
      <c r="C8" s="20">
        <f t="shared" si="1"/>
        <v>210000000</v>
      </c>
      <c r="D8" s="19">
        <v>115500000</v>
      </c>
      <c r="E8" s="32">
        <v>127628156</v>
      </c>
      <c r="F8" s="32">
        <v>21828737</v>
      </c>
      <c r="G8" s="32">
        <v>11025000</v>
      </c>
      <c r="H8" s="32">
        <v>60000000</v>
      </c>
      <c r="I8" s="32">
        <v>50000000</v>
      </c>
      <c r="J8" s="32">
        <v>14071002</v>
      </c>
      <c r="K8" s="32">
        <v>210000000</v>
      </c>
      <c r="L8" s="35">
        <v>35556707</v>
      </c>
      <c r="M8" s="35">
        <v>171033934</v>
      </c>
      <c r="N8" s="35">
        <v>50000000</v>
      </c>
    </row>
    <row r="9" spans="1:14" ht="16.5" customHeight="1">
      <c r="A9" s="3" t="s">
        <v>23</v>
      </c>
      <c r="B9" s="19">
        <f t="shared" si="0"/>
        <v>1050000000</v>
      </c>
      <c r="C9" s="20">
        <f t="shared" si="1"/>
        <v>3677415513</v>
      </c>
      <c r="D9" s="19">
        <v>2000000000</v>
      </c>
      <c r="E9" s="32">
        <v>1050000000</v>
      </c>
      <c r="F9" s="32">
        <v>3677415513</v>
      </c>
      <c r="G9" s="32">
        <v>3257789252</v>
      </c>
      <c r="H9" s="32">
        <v>3500000000</v>
      </c>
      <c r="I9" s="32">
        <v>2110650633</v>
      </c>
      <c r="J9" s="32">
        <v>1653750000</v>
      </c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330750000</v>
      </c>
      <c r="C11" s="20">
        <f t="shared" ref="C11:C17" si="3">MAX(D11:AZ11)</f>
        <v>3402413451</v>
      </c>
      <c r="D11" s="19">
        <v>3292908451</v>
      </c>
      <c r="E11" s="32">
        <v>600000000</v>
      </c>
      <c r="F11" s="32">
        <v>3402413451</v>
      </c>
      <c r="G11" s="32">
        <v>700000000</v>
      </c>
      <c r="H11" s="32">
        <v>2925260709</v>
      </c>
      <c r="I11" s="32">
        <v>1102500000</v>
      </c>
      <c r="J11" s="32">
        <v>330750000</v>
      </c>
      <c r="K11" s="32">
        <v>500000000</v>
      </c>
    </row>
    <row r="12" spans="1:14" ht="16.5" customHeight="1">
      <c r="A12" s="3" t="s">
        <v>26</v>
      </c>
      <c r="B12" s="19">
        <f t="shared" si="2"/>
        <v>200000000</v>
      </c>
      <c r="C12" s="20">
        <f t="shared" si="3"/>
        <v>3095620928</v>
      </c>
      <c r="D12" s="19">
        <v>1710339356</v>
      </c>
      <c r="E12" s="32">
        <v>200000000</v>
      </c>
      <c r="F12" s="32">
        <v>1755156420</v>
      </c>
      <c r="G12" s="32">
        <v>3095620928</v>
      </c>
      <c r="H12" s="32">
        <v>977336773</v>
      </c>
      <c r="I12" s="32">
        <v>1257099423</v>
      </c>
      <c r="J12" s="32"/>
      <c r="K12" s="32"/>
    </row>
    <row r="13" spans="1:14" ht="16.5" customHeight="1">
      <c r="A13" s="3" t="s">
        <v>27</v>
      </c>
      <c r="B13" s="19">
        <f t="shared" si="2"/>
        <v>1247356901</v>
      </c>
      <c r="C13" s="20">
        <f t="shared" si="3"/>
        <v>1881373290</v>
      </c>
      <c r="D13" s="19">
        <v>1881373290</v>
      </c>
      <c r="E13" s="32">
        <v>1247356901</v>
      </c>
      <c r="F13" s="32"/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570113111</v>
      </c>
      <c r="C14" s="20">
        <f t="shared" si="3"/>
        <v>1535761867</v>
      </c>
      <c r="D14" s="19">
        <v>700000000</v>
      </c>
      <c r="E14" s="32">
        <v>570113111</v>
      </c>
      <c r="F14" s="32">
        <v>1535761867</v>
      </c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31500000</v>
      </c>
      <c r="C15" s="20">
        <f t="shared" si="3"/>
        <v>207892813</v>
      </c>
      <c r="D15" s="19">
        <v>31500000</v>
      </c>
      <c r="E15" s="32">
        <v>51310177</v>
      </c>
      <c r="F15" s="32">
        <v>207892813</v>
      </c>
      <c r="G15" s="32">
        <v>44323661</v>
      </c>
      <c r="H15" s="32">
        <v>42213011</v>
      </c>
      <c r="I15" s="32">
        <v>162889461</v>
      </c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3000000000</v>
      </c>
      <c r="C17" s="20">
        <f t="shared" si="3"/>
        <v>8144473130</v>
      </c>
      <c r="D17" s="19">
        <v>3000000000</v>
      </c>
      <c r="E17" s="32">
        <v>8144473130</v>
      </c>
      <c r="F17" s="32">
        <v>3675000000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8400000000</v>
      </c>
      <c r="C19" s="20">
        <f t="shared" ref="C19:C25" si="5">MAX(D19:AZ19)</f>
        <v>8400000000</v>
      </c>
      <c r="D19" s="19">
        <v>8400000000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14332500000</v>
      </c>
      <c r="C20" s="20">
        <f t="shared" si="5"/>
        <v>20101434608</v>
      </c>
      <c r="D20" s="19">
        <v>14332500000</v>
      </c>
      <c r="E20" s="32">
        <v>20101434608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7387277217</v>
      </c>
      <c r="C21" s="20">
        <f t="shared" si="5"/>
        <v>8682187500</v>
      </c>
      <c r="D21" s="19">
        <v>7387277217</v>
      </c>
      <c r="E21" s="32">
        <v>8682187500</v>
      </c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700000000</v>
      </c>
      <c r="C32" s="20">
        <f t="shared" si="7"/>
        <v>700000000</v>
      </c>
      <c r="D32" s="19">
        <v>700000000</v>
      </c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74CC-C5DA-4317-87E2-42FF1F07BC3C}">
  <dimension ref="A1:N78"/>
  <sheetViews>
    <sheetView topLeftCell="A13" workbookViewId="0">
      <selection activeCell="G7" sqref="G7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1021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240661916</v>
      </c>
      <c r="C4" s="20">
        <f t="shared" ref="C4:C9" si="1">MAX(D4:AZ4)</f>
        <v>2756250000</v>
      </c>
      <c r="D4" s="21">
        <v>2000000000</v>
      </c>
      <c r="E4" s="32">
        <v>900000000</v>
      </c>
      <c r="F4" s="32">
        <v>240661916</v>
      </c>
      <c r="G4" s="32">
        <v>2756250000</v>
      </c>
      <c r="H4" s="32">
        <v>2309461875</v>
      </c>
      <c r="I4" s="32">
        <v>1000000000</v>
      </c>
      <c r="J4" s="32">
        <v>800000000</v>
      </c>
      <c r="K4" s="32">
        <v>2431012500</v>
      </c>
      <c r="L4" s="35">
        <v>1000000000</v>
      </c>
    </row>
    <row r="5" spans="1:14" ht="16.5" customHeight="1">
      <c r="A5" s="3" t="s">
        <v>19</v>
      </c>
      <c r="B5" s="19">
        <f t="shared" si="0"/>
        <v>492485146</v>
      </c>
      <c r="C5" s="20">
        <f t="shared" si="1"/>
        <v>492485146</v>
      </c>
      <c r="D5" s="19">
        <v>492485146</v>
      </c>
      <c r="E5" s="32"/>
      <c r="F5" s="32"/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720000000</v>
      </c>
      <c r="C6" s="20">
        <f t="shared" si="1"/>
        <v>930796927</v>
      </c>
      <c r="D6" s="19">
        <v>844260252</v>
      </c>
      <c r="E6" s="32">
        <v>720000000</v>
      </c>
      <c r="F6" s="32">
        <v>800000000</v>
      </c>
      <c r="G6" s="32">
        <v>930796927</v>
      </c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100000000</v>
      </c>
      <c r="C7" s="20">
        <f>MAX(D7:AZ7)</f>
        <v>525000000</v>
      </c>
      <c r="D7" s="19">
        <v>210000000</v>
      </c>
      <c r="E7" s="32">
        <v>100000000</v>
      </c>
      <c r="F7" s="32">
        <v>310265641</v>
      </c>
      <c r="G7" s="32">
        <v>200000000</v>
      </c>
      <c r="H7" s="32">
        <v>100000000</v>
      </c>
      <c r="I7" s="32">
        <v>525000000</v>
      </c>
      <c r="J7" s="32">
        <v>105000000</v>
      </c>
      <c r="K7" s="32">
        <v>240661916</v>
      </c>
    </row>
    <row r="8" spans="1:14" ht="16.5" customHeight="1">
      <c r="A8" s="3" t="s">
        <v>22</v>
      </c>
      <c r="B8" s="19">
        <f t="shared" si="0"/>
        <v>13400955</v>
      </c>
      <c r="C8" s="20">
        <f t="shared" si="1"/>
        <v>300000000</v>
      </c>
      <c r="D8" s="19">
        <v>300000000</v>
      </c>
      <c r="E8" s="32">
        <v>200000000</v>
      </c>
      <c r="F8" s="32">
        <v>13400955</v>
      </c>
      <c r="G8" s="32">
        <v>40000000</v>
      </c>
      <c r="H8" s="32">
        <v>50000000</v>
      </c>
      <c r="I8" s="32">
        <v>42213011</v>
      </c>
      <c r="J8" s="32">
        <v>110250000</v>
      </c>
      <c r="K8" s="32">
        <v>52533446</v>
      </c>
      <c r="L8" s="35">
        <v>17958558</v>
      </c>
      <c r="M8" s="35">
        <v>115762500</v>
      </c>
      <c r="N8" s="35"/>
    </row>
    <row r="9" spans="1:14" ht="16.5" customHeight="1">
      <c r="A9" s="3" t="s">
        <v>23</v>
      </c>
      <c r="B9" s="19">
        <f t="shared" si="0"/>
        <v>2110650633</v>
      </c>
      <c r="C9" s="20">
        <f t="shared" si="1"/>
        <v>2680191281</v>
      </c>
      <c r="D9" s="19">
        <v>2680191281</v>
      </c>
      <c r="E9" s="32">
        <v>2110650633</v>
      </c>
      <c r="F9" s="32"/>
      <c r="G9" s="32"/>
      <c r="H9" s="32"/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1260000000</v>
      </c>
      <c r="C11" s="20">
        <f t="shared" ref="C11:C17" si="3">MAX(D11:AZ11)</f>
        <v>3307500000</v>
      </c>
      <c r="D11" s="19">
        <v>2000000000</v>
      </c>
      <c r="E11" s="32">
        <v>2500000000</v>
      </c>
      <c r="F11" s="32">
        <v>3307500000</v>
      </c>
      <c r="G11" s="32">
        <v>1260000000</v>
      </c>
      <c r="H11" s="32">
        <v>1888888888</v>
      </c>
      <c r="I11" s="32">
        <v>2117563011</v>
      </c>
      <c r="J11" s="32">
        <v>2406619226</v>
      </c>
      <c r="K11" s="32">
        <v>1551328215</v>
      </c>
      <c r="L11" s="35">
        <v>2500000000</v>
      </c>
    </row>
    <row r="12" spans="1:14" ht="16.5" customHeight="1">
      <c r="A12" s="3" t="s">
        <v>26</v>
      </c>
      <c r="B12" s="19">
        <f t="shared" si="2"/>
        <v>1010780070</v>
      </c>
      <c r="C12" s="20">
        <f t="shared" si="3"/>
        <v>5512500000</v>
      </c>
      <c r="D12" s="19">
        <v>5512500000</v>
      </c>
      <c r="E12" s="32">
        <v>1281000000</v>
      </c>
      <c r="F12" s="32">
        <v>1500000000</v>
      </c>
      <c r="G12" s="32">
        <v>1041596666</v>
      </c>
      <c r="H12" s="32">
        <v>1010780070</v>
      </c>
      <c r="I12" s="32">
        <v>3646518750</v>
      </c>
      <c r="J12" s="32">
        <v>1385952113</v>
      </c>
      <c r="K12" s="32"/>
    </row>
    <row r="13" spans="1:14" ht="16.5" customHeight="1">
      <c r="A13" s="3" t="s">
        <v>27</v>
      </c>
      <c r="B13" s="19">
        <f t="shared" si="2"/>
        <v>525000000</v>
      </c>
      <c r="C13" s="20">
        <f t="shared" si="3"/>
        <v>1500000000</v>
      </c>
      <c r="D13" s="19">
        <v>1050000000</v>
      </c>
      <c r="E13" s="32">
        <v>525000000</v>
      </c>
      <c r="F13" s="32">
        <v>1500000000</v>
      </c>
      <c r="G13" s="32">
        <v>1286249997</v>
      </c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150000000</v>
      </c>
      <c r="C14" s="20">
        <f t="shared" si="3"/>
        <v>989965796</v>
      </c>
      <c r="D14" s="19">
        <v>638140781</v>
      </c>
      <c r="E14" s="32">
        <v>150000000</v>
      </c>
      <c r="F14" s="32">
        <v>800000000</v>
      </c>
      <c r="G14" s="32">
        <v>218882282</v>
      </c>
      <c r="H14" s="32">
        <v>989965796</v>
      </c>
      <c r="I14" s="32"/>
      <c r="J14" s="32"/>
      <c r="K14" s="32"/>
    </row>
    <row r="15" spans="1:14" ht="16.5" customHeight="1">
      <c r="A15" s="3" t="s">
        <v>29</v>
      </c>
      <c r="B15" s="19">
        <f t="shared" si="2"/>
        <v>33075000</v>
      </c>
      <c r="C15" s="20">
        <f t="shared" si="3"/>
        <v>315000000</v>
      </c>
      <c r="D15" s="19">
        <v>315000000</v>
      </c>
      <c r="E15" s="32">
        <v>68760541</v>
      </c>
      <c r="F15" s="32">
        <v>33075000</v>
      </c>
      <c r="G15" s="32">
        <v>63814077</v>
      </c>
      <c r="H15" s="32">
        <v>142948218</v>
      </c>
      <c r="I15" s="32">
        <v>140710041</v>
      </c>
      <c r="J15" s="32">
        <v>100000000</v>
      </c>
      <c r="K15" s="32">
        <v>110250000</v>
      </c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3038765625</v>
      </c>
      <c r="C17" s="20">
        <f t="shared" si="3"/>
        <v>8551696786</v>
      </c>
      <c r="D17" s="19">
        <v>6548623758</v>
      </c>
      <c r="E17" s="32">
        <v>8551696786</v>
      </c>
      <c r="F17" s="32">
        <v>6077531250</v>
      </c>
      <c r="G17" s="32">
        <v>3038765625</v>
      </c>
      <c r="H17" s="32">
        <v>3693638608</v>
      </c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3150000000</v>
      </c>
      <c r="C23" s="20">
        <f t="shared" si="5"/>
        <v>5250000000</v>
      </c>
      <c r="D23" s="19">
        <v>3150000000</v>
      </c>
      <c r="E23" s="32">
        <v>5250000000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897928160</v>
      </c>
      <c r="C24" s="20">
        <f t="shared" si="5"/>
        <v>897928160</v>
      </c>
      <c r="D24" s="19">
        <v>897928160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200000000</v>
      </c>
      <c r="C25" s="20">
        <f t="shared" si="5"/>
        <v>200000000</v>
      </c>
      <c r="D25" s="19">
        <v>200000000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24310125000</v>
      </c>
      <c r="C36" s="20">
        <f t="shared" ref="C36:C41" si="9">MAX(D36:AZ36)</f>
        <v>24310125000</v>
      </c>
      <c r="D36" s="19">
        <v>24310125000</v>
      </c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6DFE8-572C-459B-99C6-75CE6A4CBB59}">
  <dimension ref="A1:N78"/>
  <sheetViews>
    <sheetView workbookViewId="0">
      <selection activeCell="D14" sqref="D14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3" width="16.5703125" style="7" bestFit="1" customWidth="1"/>
    <col min="14" max="14" width="15.42578125" style="7" bestFit="1" customWidth="1"/>
    <col min="15" max="16384" width="9.140625" style="7"/>
  </cols>
  <sheetData>
    <row r="1" spans="1:14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4" ht="16.5" customHeight="1">
      <c r="A2" s="1" t="s">
        <v>7</v>
      </c>
      <c r="B2" s="8" t="s">
        <v>8</v>
      </c>
      <c r="C2" s="9" t="s">
        <v>8</v>
      </c>
      <c r="D2" s="29">
        <v>1025</v>
      </c>
      <c r="E2" s="30">
        <v>9000000</v>
      </c>
    </row>
    <row r="3" spans="1:14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4" ht="16.5" customHeight="1">
      <c r="A4" s="3" t="s">
        <v>18</v>
      </c>
      <c r="B4" s="19">
        <f t="shared" ref="B4:B9" si="0">MIN(D4:AZ4)</f>
        <v>1905976563</v>
      </c>
      <c r="C4" s="20">
        <f t="shared" ref="C4:C9" si="1">MAX(D4:AZ4)</f>
        <v>1905976563</v>
      </c>
      <c r="D4" s="21">
        <v>1905976563</v>
      </c>
      <c r="E4" s="32"/>
      <c r="F4" s="32"/>
      <c r="G4" s="32"/>
      <c r="H4" s="32"/>
      <c r="I4" s="32"/>
      <c r="J4" s="32"/>
      <c r="K4" s="32"/>
      <c r="L4" s="35"/>
    </row>
    <row r="5" spans="1:14" ht="16.5" customHeight="1">
      <c r="A5" s="3" t="s">
        <v>19</v>
      </c>
      <c r="B5" s="19">
        <f t="shared" si="0"/>
        <v>300000000</v>
      </c>
      <c r="C5" s="20">
        <f t="shared" si="1"/>
        <v>525334771</v>
      </c>
      <c r="D5" s="19">
        <v>300000000</v>
      </c>
      <c r="E5" s="32">
        <v>343802737</v>
      </c>
      <c r="F5" s="32">
        <v>525334771</v>
      </c>
      <c r="G5" s="32"/>
      <c r="H5" s="32"/>
      <c r="I5" s="32"/>
      <c r="J5" s="32"/>
      <c r="K5" s="32"/>
    </row>
    <row r="6" spans="1:14" ht="16.5" customHeight="1">
      <c r="A6" s="3" t="s">
        <v>20</v>
      </c>
      <c r="B6" s="19">
        <f t="shared" si="0"/>
        <v>422130125</v>
      </c>
      <c r="C6" s="20">
        <f t="shared" si="1"/>
        <v>900000000</v>
      </c>
      <c r="D6" s="19">
        <v>687605487</v>
      </c>
      <c r="E6" s="32">
        <v>900000000</v>
      </c>
      <c r="F6" s="32">
        <v>422130125</v>
      </c>
      <c r="G6" s="32"/>
      <c r="H6" s="32"/>
      <c r="I6" s="32"/>
      <c r="J6" s="32"/>
      <c r="K6" s="32"/>
    </row>
    <row r="7" spans="1:14" ht="16.5" customHeight="1">
      <c r="A7" s="3" t="s">
        <v>21</v>
      </c>
      <c r="B7" s="19">
        <f>MIN(D7:AZ7)</f>
        <v>17103389</v>
      </c>
      <c r="C7" s="20">
        <f>MAX(D7:AZ7)</f>
        <v>992250000</v>
      </c>
      <c r="D7" s="19">
        <v>17103389</v>
      </c>
      <c r="E7" s="32">
        <v>300000000</v>
      </c>
      <c r="F7" s="32">
        <v>35177508</v>
      </c>
      <c r="G7" s="32">
        <v>992250000</v>
      </c>
      <c r="H7" s="32">
        <v>565694738</v>
      </c>
      <c r="I7" s="32"/>
      <c r="J7" s="32"/>
      <c r="K7" s="32"/>
    </row>
    <row r="8" spans="1:14" ht="16.5" customHeight="1">
      <c r="A8" s="3" t="s">
        <v>22</v>
      </c>
      <c r="B8" s="19">
        <f t="shared" si="0"/>
        <v>30000000</v>
      </c>
      <c r="C8" s="20">
        <f t="shared" si="1"/>
        <v>105000000</v>
      </c>
      <c r="D8" s="19">
        <v>100000000</v>
      </c>
      <c r="E8" s="32">
        <v>67004780</v>
      </c>
      <c r="F8" s="32">
        <v>30000000</v>
      </c>
      <c r="G8" s="32">
        <v>80000000</v>
      </c>
      <c r="H8" s="32">
        <v>84000000</v>
      </c>
      <c r="I8" s="32">
        <v>105000000</v>
      </c>
      <c r="J8" s="32"/>
      <c r="K8" s="32"/>
      <c r="L8" s="35"/>
      <c r="M8" s="35"/>
      <c r="N8" s="35"/>
    </row>
    <row r="9" spans="1:14" ht="16.5" customHeight="1">
      <c r="A9" s="3" t="s">
        <v>23</v>
      </c>
      <c r="B9" s="19">
        <f t="shared" si="0"/>
        <v>1102500000</v>
      </c>
      <c r="C9" s="20">
        <f t="shared" si="1"/>
        <v>4020286921</v>
      </c>
      <c r="D9" s="19">
        <v>1157625000</v>
      </c>
      <c r="E9" s="32">
        <v>1102500000</v>
      </c>
      <c r="F9" s="32">
        <v>4020286921</v>
      </c>
      <c r="G9" s="32">
        <v>3141011917</v>
      </c>
      <c r="H9" s="32">
        <v>2979623803</v>
      </c>
      <c r="I9" s="32"/>
      <c r="J9" s="32"/>
      <c r="K9" s="32"/>
    </row>
    <row r="10" spans="1:14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4" ht="16.5" customHeight="1">
      <c r="A11" s="5" t="s">
        <v>25</v>
      </c>
      <c r="B11" s="19">
        <f t="shared" ref="B11:B17" si="2">MIN(D11:AZ11)</f>
        <v>3828844687</v>
      </c>
      <c r="C11" s="20">
        <f t="shared" ref="C11:C17" si="3">MAX(D11:AZ11)</f>
        <v>3828844687</v>
      </c>
      <c r="D11" s="19">
        <v>3828844687</v>
      </c>
      <c r="E11" s="32"/>
      <c r="F11" s="32"/>
      <c r="G11" s="32"/>
      <c r="H11" s="32"/>
      <c r="I11" s="32"/>
      <c r="J11" s="32"/>
      <c r="K11" s="32"/>
      <c r="L11" s="35"/>
    </row>
    <row r="12" spans="1:14" ht="16.5" customHeight="1">
      <c r="A12" s="3" t="s">
        <v>26</v>
      </c>
      <c r="B12" s="19">
        <f t="shared" si="2"/>
        <v>1146009153</v>
      </c>
      <c r="C12" s="20">
        <f t="shared" si="3"/>
        <v>1979931595</v>
      </c>
      <c r="D12" s="19">
        <v>1979931595</v>
      </c>
      <c r="E12" s="32">
        <v>1146009153</v>
      </c>
      <c r="F12" s="32"/>
      <c r="G12" s="32"/>
      <c r="H12" s="32"/>
      <c r="I12" s="32"/>
      <c r="J12" s="32"/>
      <c r="K12" s="32"/>
    </row>
    <row r="13" spans="1:14" ht="16.5" customHeight="1">
      <c r="A13" s="3" t="s">
        <v>27</v>
      </c>
      <c r="B13" s="19">
        <f t="shared" si="2"/>
        <v>1329709897</v>
      </c>
      <c r="C13" s="20">
        <f t="shared" si="3"/>
        <v>1608114768</v>
      </c>
      <c r="D13" s="19">
        <v>1329709897</v>
      </c>
      <c r="E13" s="32">
        <v>1458607500</v>
      </c>
      <c r="F13" s="32">
        <v>1608114768</v>
      </c>
      <c r="G13" s="32"/>
      <c r="H13" s="32"/>
      <c r="I13" s="32"/>
      <c r="J13" s="32"/>
      <c r="K13" s="32"/>
    </row>
    <row r="14" spans="1:14" ht="16.5" customHeight="1">
      <c r="A14" s="3" t="s">
        <v>28</v>
      </c>
      <c r="B14" s="19">
        <f t="shared" si="2"/>
        <v>500000000</v>
      </c>
      <c r="C14" s="20">
        <f t="shared" si="3"/>
        <v>1303115698</v>
      </c>
      <c r="D14" s="19">
        <v>500000000</v>
      </c>
      <c r="E14" s="32">
        <v>1303115698</v>
      </c>
      <c r="F14" s="32"/>
      <c r="G14" s="32"/>
      <c r="H14" s="32"/>
      <c r="I14" s="32"/>
      <c r="J14" s="32"/>
      <c r="K14" s="32"/>
    </row>
    <row r="15" spans="1:14" ht="16.5" customHeight="1">
      <c r="A15" s="3" t="s">
        <v>29</v>
      </c>
      <c r="B15" s="19">
        <f t="shared" si="2"/>
        <v>100000000</v>
      </c>
      <c r="C15" s="20">
        <f t="shared" si="3"/>
        <v>300000000</v>
      </c>
      <c r="D15" s="19">
        <v>150000000</v>
      </c>
      <c r="E15" s="32">
        <v>100000000</v>
      </c>
      <c r="F15" s="32">
        <v>300000000</v>
      </c>
      <c r="G15" s="32"/>
      <c r="H15" s="32"/>
      <c r="I15" s="32"/>
      <c r="J15" s="32"/>
      <c r="K15" s="32"/>
    </row>
    <row r="16" spans="1:14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2292018311</v>
      </c>
      <c r="C17" s="20">
        <f t="shared" si="3"/>
        <v>4886683878</v>
      </c>
      <c r="D17" s="19">
        <v>2292018311</v>
      </c>
      <c r="E17" s="32">
        <v>3790425284</v>
      </c>
      <c r="F17" s="32">
        <v>4886683878</v>
      </c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10500000000</v>
      </c>
      <c r="C19" s="20">
        <f t="shared" ref="C19:C25" si="5">MAX(D19:AZ19)</f>
        <v>20000000000</v>
      </c>
      <c r="D19" s="19">
        <v>10500000000</v>
      </c>
      <c r="E19" s="32">
        <v>20000000000</v>
      </c>
      <c r="F19" s="32">
        <v>19799315988</v>
      </c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19799315988</v>
      </c>
      <c r="C20" s="20">
        <f t="shared" si="5"/>
        <v>19799315988</v>
      </c>
      <c r="D20" s="19">
        <v>19799315988</v>
      </c>
      <c r="E20" s="32">
        <v>19799315988</v>
      </c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20114253419</v>
      </c>
      <c r="C21" s="20">
        <f t="shared" si="5"/>
        <v>20114253419</v>
      </c>
      <c r="D21" s="19">
        <v>20114253419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2626673960</v>
      </c>
      <c r="C22" s="20">
        <f t="shared" si="5"/>
        <v>2626673960</v>
      </c>
      <c r="D22" s="19">
        <v>2626673960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1021025250</v>
      </c>
      <c r="C24" s="20">
        <f t="shared" si="5"/>
        <v>1021025250</v>
      </c>
      <c r="D24" s="19">
        <v>1021025250</v>
      </c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5105126250</v>
      </c>
      <c r="C25" s="20">
        <f t="shared" si="5"/>
        <v>5105126250</v>
      </c>
      <c r="D25" s="19">
        <v>5105126250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10000000000</v>
      </c>
      <c r="C27" s="20">
        <f t="shared" ref="C27:C34" si="7">MAX(D27:AZ27)</f>
        <v>10000000000</v>
      </c>
      <c r="D27" s="19">
        <v>10000000000</v>
      </c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7BD36-BB1C-4920-8236-6A0D8F092169}">
  <dimension ref="A1:P78"/>
  <sheetViews>
    <sheetView tabSelected="1" topLeftCell="A7" workbookViewId="0">
      <selection activeCell="G22" sqref="G2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2" width="9.140625" style="7" customWidth="1"/>
    <col min="13" max="14" width="18.28515625" style="7" bestFit="1" customWidth="1"/>
    <col min="15" max="16" width="15.42578125" style="7" bestFit="1" customWidth="1"/>
    <col min="17" max="16384" width="9.140625" style="7"/>
  </cols>
  <sheetData>
    <row r="1" spans="1:16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6" ht="16.5" customHeight="1">
      <c r="A2" s="1" t="s">
        <v>7</v>
      </c>
      <c r="B2" s="8" t="s">
        <v>8</v>
      </c>
      <c r="C2" s="9" t="s">
        <v>8</v>
      </c>
      <c r="D2" s="29">
        <v>1028</v>
      </c>
      <c r="E2" s="30">
        <v>9000000</v>
      </c>
    </row>
    <row r="3" spans="1:16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6" ht="16.5" customHeight="1">
      <c r="A4" s="3" t="s">
        <v>18</v>
      </c>
      <c r="B4" s="19">
        <f t="shared" ref="B4:B9" si="0">MIN(D4:AZ4)</f>
        <v>405168750</v>
      </c>
      <c r="C4" s="20">
        <f t="shared" ref="C4:C9" si="1">MAX(D4:AZ4)</f>
        <v>5909821774</v>
      </c>
      <c r="D4" s="21">
        <v>1000000000</v>
      </c>
      <c r="E4" s="32">
        <v>600000000</v>
      </c>
      <c r="F4" s="32">
        <v>588000000</v>
      </c>
      <c r="G4" s="32">
        <v>5909821774</v>
      </c>
      <c r="H4" s="32">
        <v>5250000000</v>
      </c>
      <c r="I4" s="32">
        <v>405168750</v>
      </c>
      <c r="J4" s="32">
        <v>486202500</v>
      </c>
      <c r="K4" s="32"/>
      <c r="L4" s="35"/>
    </row>
    <row r="5" spans="1:16" ht="16.5" customHeight="1">
      <c r="A5" s="3" t="s">
        <v>19</v>
      </c>
      <c r="B5" s="19">
        <f t="shared" si="0"/>
        <v>244334190</v>
      </c>
      <c r="C5" s="20">
        <f t="shared" si="1"/>
        <v>2163232741</v>
      </c>
      <c r="D5" s="19">
        <v>600000000</v>
      </c>
      <c r="E5" s="32">
        <v>500000000</v>
      </c>
      <c r="F5" s="32">
        <v>244334190</v>
      </c>
      <c r="G5" s="32">
        <v>738727721</v>
      </c>
      <c r="H5" s="32">
        <v>1050000000</v>
      </c>
      <c r="I5" s="32">
        <v>2110650633</v>
      </c>
      <c r="J5" s="32">
        <v>2163232741</v>
      </c>
      <c r="K5" s="32">
        <v>738727721</v>
      </c>
      <c r="L5" s="35">
        <v>442231560</v>
      </c>
    </row>
    <row r="6" spans="1:16" ht="16.5" customHeight="1">
      <c r="A6" s="3" t="s">
        <v>20</v>
      </c>
      <c r="B6" s="19">
        <f t="shared" si="0"/>
        <v>312038019</v>
      </c>
      <c r="C6" s="20">
        <f t="shared" si="1"/>
        <v>900000000</v>
      </c>
      <c r="D6" s="19">
        <v>630000000</v>
      </c>
      <c r="E6" s="32">
        <v>729303750</v>
      </c>
      <c r="F6" s="32">
        <v>900000000</v>
      </c>
      <c r="G6" s="32">
        <v>888888888</v>
      </c>
      <c r="H6" s="32">
        <v>729303750</v>
      </c>
      <c r="I6" s="32">
        <v>775664107</v>
      </c>
      <c r="J6" s="32">
        <v>312038019</v>
      </c>
      <c r="K6" s="32"/>
    </row>
    <row r="7" spans="1:16" ht="16.5" customHeight="1">
      <c r="A7" s="3" t="s">
        <v>21</v>
      </c>
      <c r="B7" s="19">
        <f>MIN(D7:AZ7)</f>
        <v>210000000</v>
      </c>
      <c r="C7" s="20">
        <f>MAX(D7:AZ7)</f>
        <v>1102500000</v>
      </c>
      <c r="D7" s="19">
        <v>210000000</v>
      </c>
      <c r="E7" s="32">
        <v>1102500000</v>
      </c>
      <c r="F7" s="32">
        <v>525000000</v>
      </c>
      <c r="G7" s="32">
        <v>357000000</v>
      </c>
      <c r="H7" s="32"/>
      <c r="I7" s="32"/>
      <c r="J7" s="32"/>
      <c r="K7" s="32"/>
    </row>
    <row r="8" spans="1:16" ht="16.5" customHeight="1">
      <c r="A8" s="3" t="s">
        <v>22</v>
      </c>
      <c r="B8" s="19">
        <f t="shared" si="0"/>
        <v>10000000</v>
      </c>
      <c r="C8" s="20">
        <f t="shared" si="1"/>
        <v>200000000</v>
      </c>
      <c r="D8" s="19">
        <v>11025000</v>
      </c>
      <c r="E8" s="32">
        <v>200000000</v>
      </c>
      <c r="F8" s="32">
        <v>21000000</v>
      </c>
      <c r="G8" s="32">
        <v>21000000</v>
      </c>
      <c r="H8" s="32">
        <v>17364375</v>
      </c>
      <c r="I8" s="32">
        <v>115762500</v>
      </c>
      <c r="J8" s="32">
        <v>121550625</v>
      </c>
      <c r="K8" s="32">
        <v>51310177</v>
      </c>
      <c r="L8" s="35">
        <v>10500000</v>
      </c>
      <c r="M8" s="35">
        <v>21000000</v>
      </c>
      <c r="N8" s="35">
        <v>15513279</v>
      </c>
      <c r="O8" s="35">
        <v>10000000</v>
      </c>
      <c r="P8" s="35">
        <v>33600000</v>
      </c>
    </row>
    <row r="9" spans="1:16" ht="16.5" customHeight="1">
      <c r="A9" s="3" t="s">
        <v>23</v>
      </c>
      <c r="B9" s="19">
        <f t="shared" si="0"/>
        <v>1047375000</v>
      </c>
      <c r="C9" s="20">
        <f t="shared" si="1"/>
        <v>6515578505</v>
      </c>
      <c r="D9" s="19">
        <v>1102500000</v>
      </c>
      <c r="E9" s="32">
        <v>5131018071</v>
      </c>
      <c r="F9" s="32">
        <v>1047375000</v>
      </c>
      <c r="G9" s="32">
        <v>2954910887</v>
      </c>
      <c r="H9" s="32">
        <v>3591712649</v>
      </c>
      <c r="I9" s="32">
        <v>3017038624</v>
      </c>
      <c r="J9" s="32">
        <v>3009825000</v>
      </c>
      <c r="K9" s="32">
        <v>2292018311</v>
      </c>
      <c r="L9" s="35">
        <v>6515578505</v>
      </c>
      <c r="M9" s="35">
        <v>1319954394</v>
      </c>
      <c r="N9" s="35">
        <v>1485618747</v>
      </c>
    </row>
    <row r="10" spans="1:16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6" ht="16.5" customHeight="1">
      <c r="A11" s="5" t="s">
        <v>25</v>
      </c>
      <c r="B11" s="19">
        <f t="shared" ref="B11:B17" si="2">MIN(D11:AZ11)</f>
        <v>1000000000</v>
      </c>
      <c r="C11" s="20">
        <f t="shared" ref="C11:C17" si="3">MAX(D11:AZ11)</f>
        <v>10394640890</v>
      </c>
      <c r="D11" s="19">
        <v>1964587121</v>
      </c>
      <c r="E11" s="32">
        <v>1021025250</v>
      </c>
      <c r="F11" s="32">
        <v>1000000000</v>
      </c>
      <c r="G11" s="32">
        <v>10394640890</v>
      </c>
      <c r="H11" s="32">
        <v>1653750000</v>
      </c>
      <c r="I11" s="32"/>
      <c r="J11" s="32"/>
      <c r="K11" s="32"/>
      <c r="L11" s="35"/>
    </row>
    <row r="12" spans="1:16" ht="16.5" customHeight="1">
      <c r="A12" s="3" t="s">
        <v>26</v>
      </c>
      <c r="B12" s="19">
        <f t="shared" si="2"/>
        <v>661500000</v>
      </c>
      <c r="C12" s="20">
        <f t="shared" si="3"/>
        <v>4886683878</v>
      </c>
      <c r="D12" s="19">
        <v>4886683878</v>
      </c>
      <c r="E12" s="32">
        <v>2271394378</v>
      </c>
      <c r="F12" s="32">
        <v>661500000</v>
      </c>
      <c r="G12" s="32">
        <v>2000000000</v>
      </c>
      <c r="H12" s="32"/>
      <c r="I12" s="32"/>
      <c r="J12" s="32"/>
      <c r="K12" s="32"/>
    </row>
    <row r="13" spans="1:16" ht="16.5" customHeight="1">
      <c r="A13" s="3" t="s">
        <v>27</v>
      </c>
      <c r="B13" s="19">
        <f t="shared" si="2"/>
        <v>1100000000</v>
      </c>
      <c r="C13" s="20">
        <f t="shared" si="3"/>
        <v>1500000000</v>
      </c>
      <c r="D13" s="19">
        <v>1500000000</v>
      </c>
      <c r="E13" s="32">
        <v>1100000000</v>
      </c>
      <c r="F13" s="32">
        <v>1206086076</v>
      </c>
      <c r="G13" s="32">
        <v>1407100422</v>
      </c>
      <c r="H13" s="32">
        <v>1260000000</v>
      </c>
      <c r="I13" s="32">
        <v>1204076907</v>
      </c>
      <c r="J13" s="32"/>
      <c r="K13" s="32"/>
    </row>
    <row r="14" spans="1:16" ht="16.5" customHeight="1">
      <c r="A14" s="3" t="s">
        <v>28</v>
      </c>
      <c r="B14" s="19">
        <f t="shared" si="2"/>
        <v>507953220</v>
      </c>
      <c r="C14" s="20">
        <f t="shared" si="3"/>
        <v>2001275391</v>
      </c>
      <c r="D14" s="19">
        <v>600000000</v>
      </c>
      <c r="E14" s="32">
        <v>2001275391</v>
      </c>
      <c r="F14" s="32">
        <v>525000000</v>
      </c>
      <c r="G14" s="32">
        <v>1015906467</v>
      </c>
      <c r="H14" s="32">
        <v>507953220</v>
      </c>
      <c r="I14" s="32"/>
      <c r="J14" s="32"/>
      <c r="K14" s="32"/>
    </row>
    <row r="15" spans="1:16" ht="16.5" customHeight="1">
      <c r="A15" s="3" t="s">
        <v>29</v>
      </c>
      <c r="B15" s="19">
        <f t="shared" si="2"/>
        <v>40000000</v>
      </c>
      <c r="C15" s="20">
        <f t="shared" si="3"/>
        <v>338635481</v>
      </c>
      <c r="D15" s="19">
        <v>70355019</v>
      </c>
      <c r="E15" s="32">
        <v>93079690</v>
      </c>
      <c r="F15" s="32">
        <v>55125000</v>
      </c>
      <c r="G15" s="32">
        <v>262500000</v>
      </c>
      <c r="H15" s="32">
        <v>134009563</v>
      </c>
      <c r="I15" s="32">
        <v>338635481</v>
      </c>
      <c r="J15" s="32">
        <v>40000000</v>
      </c>
      <c r="K15" s="32">
        <v>115762500</v>
      </c>
      <c r="L15" s="35">
        <v>261341919</v>
      </c>
    </row>
    <row r="16" spans="1:16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2552563125</v>
      </c>
      <c r="C17" s="20">
        <f t="shared" si="3"/>
        <v>10331803125</v>
      </c>
      <c r="D17" s="19">
        <v>10331803125</v>
      </c>
      <c r="E17" s="32">
        <v>5000000000</v>
      </c>
      <c r="F17" s="32">
        <v>5496981676</v>
      </c>
      <c r="G17" s="32">
        <v>2552563125</v>
      </c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MIN(D19:AZ19)</f>
        <v>0</v>
      </c>
      <c r="C19" s="20">
        <f t="shared" ref="C19:C25" si="5">MAX(D19:AZ19)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22000000000</v>
      </c>
      <c r="C20" s="20">
        <f t="shared" si="5"/>
        <v>22000000000</v>
      </c>
      <c r="D20" s="19">
        <v>22000000000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0</v>
      </c>
      <c r="C22" s="20">
        <f t="shared" si="5"/>
        <v>0</v>
      </c>
      <c r="D22" s="19"/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3063075750</v>
      </c>
      <c r="C23" s="20">
        <f t="shared" si="5"/>
        <v>12222222220</v>
      </c>
      <c r="D23" s="19">
        <v>12222222220</v>
      </c>
      <c r="E23" s="32">
        <v>3063075750</v>
      </c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MIN(D27:AZ27)</f>
        <v>0</v>
      </c>
      <c r="C27" s="20">
        <f t="shared" ref="C27:C34" si="7">MAX(D27:AZ27)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MIN(D36:AZ36)</f>
        <v>0</v>
      </c>
      <c r="C36" s="20">
        <f t="shared" ref="C36:C41" si="9">MAX(D36:AZ36)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工作表2</vt:lpstr>
      <vt:lpstr>List</vt:lpstr>
      <vt:lpstr>歷史成交總集</vt:lpstr>
      <vt:lpstr>0926紀錄</vt:lpstr>
      <vt:lpstr>0930紀錄</vt:lpstr>
      <vt:lpstr>1003紀錄</vt:lpstr>
      <vt:lpstr>1007紀錄</vt:lpstr>
      <vt:lpstr>1010紀錄</vt:lpstr>
      <vt:lpstr>1014紀錄</vt:lpstr>
      <vt:lpstr>1017紀錄</vt:lpstr>
      <vt:lpstr>1021紀錄</vt:lpstr>
      <vt:lpstr>1024紀錄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2026-10-25T10:11:18Z</dcterms:modified>
</cp:coreProperties>
</file>