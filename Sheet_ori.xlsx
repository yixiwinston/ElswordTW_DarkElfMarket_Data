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80" yWindow="2280" windowWidth="21600" windowHeight="11385" tabRatio="600" firstSheet="0" activeTab="3" autoFilterDateGrouping="1"/>
  </bookViews>
  <sheets>
    <sheet name="工作表2" sheetId="1" state="visible" r:id="rId1"/>
    <sheet name="List" sheetId="2" state="visible" r:id="rId2"/>
    <sheet name="0926紀錄" sheetId="3" state="visible" r:id="rId3"/>
    <sheet name="0930紀錄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_);[Red]\(#,##0\)"/>
    <numFmt numFmtId="165" formatCode="_-* #,##0_-;\-* #,##0_-;_-* &quot;-&quot;??_-;_-@_-"/>
    <numFmt numFmtId="166" formatCode="_-* #,##0.00_-;\-* #,##0.00_-;_-* &quot;-&quot;??_-;_-@_-"/>
    <numFmt numFmtId="167" formatCode="m&quot;月&quot;d&quot;日&quot;"/>
  </numFmts>
  <fonts count="13">
    <font>
      <name val="新細明體"/>
      <family val="2"/>
      <color theme="1"/>
      <sz val="11"/>
      <scheme val="minor"/>
    </font>
    <font>
      <name val="新細明體"/>
      <family val="2"/>
      <color theme="1"/>
      <sz val="11"/>
      <scheme val="minor"/>
    </font>
    <font>
      <name val="Inherit"/>
      <family val="2"/>
      <b val="1"/>
      <color theme="1"/>
      <sz val="12"/>
    </font>
    <font>
      <name val="微軟正黑體"/>
      <charset val="136"/>
      <family val="2"/>
      <color theme="1"/>
      <sz val="12"/>
    </font>
    <font>
      <name val="Inherit"/>
      <family val="2"/>
      <color theme="1"/>
      <sz val="12"/>
    </font>
    <font>
      <name val="新細明體"/>
      <charset val="136"/>
      <family val="3"/>
      <sz val="9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細明體"/>
      <charset val="136"/>
      <family val="3"/>
      <color indexed="81"/>
      <sz val="9"/>
    </font>
    <font>
      <name val="新細明體"/>
      <charset val="136"/>
      <family val="1"/>
      <b val="1"/>
      <color theme="1"/>
      <sz val="12"/>
      <scheme val="minor"/>
    </font>
    <font>
      <name val="新細明體"/>
      <charset val="136"/>
      <family val="1"/>
      <color theme="1"/>
      <sz val="12"/>
      <scheme val="minor"/>
    </font>
    <font>
      <name val="新細明體"/>
      <charset val="136"/>
      <family val="1"/>
      <color theme="1"/>
      <sz val="11"/>
      <scheme val="minor"/>
    </font>
    <font>
      <name val="新細明體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1" fillId="0" borderId="0"/>
    <xf numFmtId="43" fontId="1" fillId="0" borderId="0" applyAlignment="1">
      <alignment vertical="center"/>
    </xf>
  </cellStyleXfs>
  <cellXfs count="61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horizontal="left" vertical="center" indent="1"/>
    </xf>
    <xf numFmtId="164" fontId="0" fillId="0" borderId="0" pivotButton="0" quotePrefix="0" xfId="1"/>
    <xf numFmtId="0" fontId="0" fillId="0" borderId="1" pivotButton="0" quotePrefix="0" xfId="0"/>
    <xf numFmtId="165" fontId="0" fillId="0" borderId="0" pivotButton="0" quotePrefix="0" xfId="1"/>
    <xf numFmtId="0" fontId="3" fillId="0" borderId="0" applyAlignment="1" pivotButton="0" quotePrefix="0" xfId="0">
      <alignment horizontal="left" vertical="center" indent="1"/>
    </xf>
    <xf numFmtId="0" fontId="0" fillId="2" borderId="0" pivotButton="0" quotePrefix="0" xfId="0"/>
    <xf numFmtId="165" fontId="0" fillId="2" borderId="0" pivotButton="0" quotePrefix="0" xfId="1"/>
    <xf numFmtId="0" fontId="0" fillId="0" borderId="0" pivotButton="0" quotePrefix="0" xfId="0"/>
    <xf numFmtId="0" fontId="9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0" borderId="0" pivotButton="0" quotePrefix="0" xfId="0"/>
    <xf numFmtId="0" fontId="11" fillId="0" borderId="1" pivotButton="0" quotePrefix="0" xfId="0"/>
    <xf numFmtId="0" fontId="11" fillId="0" borderId="0" pivotButton="0" quotePrefix="0" xfId="0"/>
    <xf numFmtId="0" fontId="10" fillId="2" borderId="0" applyAlignment="1" pivotButton="0" quotePrefix="0" xfId="0">
      <alignment horizontal="left"/>
    </xf>
    <xf numFmtId="0" fontId="10" fillId="2" borderId="1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165" fontId="10" fillId="0" borderId="0" applyAlignment="1" pivotButton="0" quotePrefix="0" xfId="1">
      <alignment horizontal="left" vertical="center" indent="1"/>
    </xf>
    <xf numFmtId="165" fontId="10" fillId="0" borderId="1" applyAlignment="1" pivotButton="0" quotePrefix="0" xfId="1">
      <alignment horizontal="left" vertical="center" indent="1"/>
    </xf>
    <xf numFmtId="165" fontId="10" fillId="0" borderId="0" applyAlignment="1" pivotButton="0" quotePrefix="0" xfId="1">
      <alignment horizontal="left" vertical="top" indent="1"/>
    </xf>
    <xf numFmtId="165" fontId="10" fillId="0" borderId="0" applyAlignment="1" pivotButton="0" quotePrefix="0" xfId="1">
      <alignment horizontal="left" vertical="center" indent="1"/>
    </xf>
    <xf numFmtId="165" fontId="10" fillId="2" borderId="0" applyAlignment="1" pivotButton="0" quotePrefix="0" xfId="1">
      <alignment horizontal="left"/>
    </xf>
    <xf numFmtId="165" fontId="10" fillId="2" borderId="1" applyAlignment="1" pivotButton="0" quotePrefix="0" xfId="1">
      <alignment horizontal="left"/>
    </xf>
    <xf numFmtId="165" fontId="10" fillId="2" borderId="0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5" fontId="11" fillId="2" borderId="1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6" fontId="0" fillId="0" borderId="0" pivotButton="0" quotePrefix="0" xfId="1"/>
    <xf numFmtId="166" fontId="0" fillId="0" borderId="0" pivotButton="0" quotePrefix="0" xfId="0"/>
    <xf numFmtId="165" fontId="10" fillId="2" borderId="0" pivotButton="0" quotePrefix="0" xfId="1"/>
    <xf numFmtId="165" fontId="10" fillId="0" borderId="0" pivotButton="0" quotePrefix="0" xfId="1"/>
    <xf numFmtId="165" fontId="10" fillId="2" borderId="0" applyAlignment="1" pivotButton="0" quotePrefix="0" xfId="1">
      <alignment horizontal="left" vertical="center" indent="1"/>
    </xf>
    <xf numFmtId="165" fontId="10" fillId="2" borderId="1" applyAlignment="1" pivotButton="0" quotePrefix="0" xfId="1">
      <alignment horizontal="left" vertical="center" indent="1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1">
      <alignment horizontal="right"/>
    </xf>
    <xf numFmtId="167" fontId="9" fillId="0" borderId="0" applyAlignment="1" pivotButton="0" quotePrefix="0" xfId="0">
      <alignment horizontal="right" vertical="center"/>
    </xf>
    <xf numFmtId="165" fontId="9" fillId="0" borderId="0" applyAlignment="1" pivotButton="0" quotePrefix="0" xfId="1">
      <alignment horizontal="right"/>
    </xf>
    <xf numFmtId="165" fontId="12" fillId="0" borderId="0" pivotButton="0" quotePrefix="0" xfId="1"/>
    <xf numFmtId="165" fontId="0" fillId="0" borderId="0" pivotButton="0" quotePrefix="0" xfId="1"/>
    <xf numFmtId="166" fontId="0" fillId="0" borderId="0" pivotButton="0" quotePrefix="0" xfId="1"/>
    <xf numFmtId="165" fontId="0" fillId="2" borderId="0" pivotButton="0" quotePrefix="0" xfId="1"/>
    <xf numFmtId="165" fontId="10" fillId="0" borderId="0" applyAlignment="1" pivotButton="0" quotePrefix="0" xfId="1">
      <alignment horizontal="left" vertical="center" indent="1"/>
    </xf>
    <xf numFmtId="165" fontId="10" fillId="0" borderId="1" applyAlignment="1" pivotButton="0" quotePrefix="0" xfId="1">
      <alignment horizontal="left" vertical="center" indent="1"/>
    </xf>
    <xf numFmtId="165" fontId="10" fillId="0" borderId="0" applyAlignment="1" pivotButton="0" quotePrefix="0" xfId="1">
      <alignment horizontal="left" vertical="top" indent="1"/>
    </xf>
    <xf numFmtId="166" fontId="0" fillId="0" borderId="0" pivotButton="0" quotePrefix="0" xfId="0"/>
    <xf numFmtId="164" fontId="0" fillId="0" borderId="0" pivotButton="0" quotePrefix="0" xfId="1"/>
    <xf numFmtId="165" fontId="10" fillId="2" borderId="0" applyAlignment="1" pivotButton="0" quotePrefix="0" xfId="1">
      <alignment horizontal="left"/>
    </xf>
    <xf numFmtId="165" fontId="10" fillId="2" borderId="1" applyAlignment="1" pivotButton="0" quotePrefix="0" xfId="1">
      <alignment horizontal="left"/>
    </xf>
    <xf numFmtId="165" fontId="11" fillId="2" borderId="0" applyAlignment="1" pivotButton="0" quotePrefix="0" xfId="1">
      <alignment horizontal="left"/>
    </xf>
    <xf numFmtId="165" fontId="11" fillId="2" borderId="1" applyAlignment="1" pivotButton="0" quotePrefix="0" xfId="1">
      <alignment horizontal="left"/>
    </xf>
    <xf numFmtId="165" fontId="0" fillId="0" borderId="0" applyAlignment="1" pivotButton="0" quotePrefix="0" xfId="1">
      <alignment horizontal="right"/>
    </xf>
    <xf numFmtId="167" fontId="9" fillId="0" borderId="0" applyAlignment="1" pivotButton="0" quotePrefix="0" xfId="0">
      <alignment horizontal="right" vertical="center"/>
    </xf>
    <xf numFmtId="165" fontId="9" fillId="0" borderId="0" applyAlignment="1" pivotButton="0" quotePrefix="0" xfId="1">
      <alignment horizontal="right"/>
    </xf>
    <xf numFmtId="165" fontId="10" fillId="2" borderId="0" pivotButton="0" quotePrefix="0" xfId="1"/>
    <xf numFmtId="165" fontId="10" fillId="0" borderId="0" pivotButton="0" quotePrefix="0" xfId="1"/>
    <xf numFmtId="165" fontId="10" fillId="2" borderId="0" applyAlignment="1" pivotButton="0" quotePrefix="0" xfId="1">
      <alignment horizontal="left" vertical="center" indent="1"/>
    </xf>
    <xf numFmtId="165" fontId="10" fillId="2" borderId="1" applyAlignment="1" pivotButton="0" quotePrefix="0" xfId="1">
      <alignment horizontal="left" vertical="center" indent="1"/>
    </xf>
    <xf numFmtId="165" fontId="12" fillId="0" borderId="0" pivotButton="0" quotePrefix="0" xfId="1"/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  <comment ref="A4" authorId="0" shapeId="0">
      <text>
        <t xml:space="preserve">USER:
先當10個黑色碎片
</t>
      </text>
    </comment>
    <comment ref="A7" authorId="0" shapeId="0">
      <text>
        <t>USER:
視同死龍後悔卷 1e ED</t>
      </text>
    </comment>
    <comment ref="A8" authorId="0" shapeId="0">
      <text>
        <t>USER:
商城1e ED + 5片備份模塊 = 450$
轉換後一片約88</t>
      </text>
    </comment>
    <comment ref="A9" authorId="0" shapeId="0">
      <text>
        <t>USER:
1蔣萬安瓶 = 100掉落材料</t>
      </text>
    </comment>
    <comment ref="A16" authorId="0" shapeId="0">
      <text>
        <t>USER:
商城1e ED + 5片備份模塊 = 450$
轉換後一片約88</t>
      </text>
    </comment>
    <comment ref="A21" authorId="0" shapeId="0">
      <text>
        <t>USER:
先當40個黑色碎片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comments/comment3.xml><?xml version="1.0" encoding="utf-8"?>
<comments xmlns="http://schemas.openxmlformats.org/spreadsheetml/2006/main">
  <authors>
    <author>USER</author>
  </authors>
  <commentList>
    <comment ref="H1" authorId="0" shapeId="0">
      <text>
        <t>USER:
假設一件成裝140 7000NT
黑色碎片換算台幣50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zoomScale="85" zoomScaleNormal="85" workbookViewId="0">
      <selection activeCell="D17" sqref="D17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1" min="7" max="8"/>
    <col width="18.28515625" customWidth="1" style="10" min="9" max="10"/>
    <col width="18.140625" customWidth="1" style="10" min="11" max="11"/>
  </cols>
  <sheetData>
    <row r="1">
      <c r="A1" t="inlineStr">
        <is>
          <t>Last Update: 20260914</t>
        </is>
      </c>
      <c r="B1" t="inlineStr">
        <is>
          <t>最低價參考</t>
        </is>
      </c>
      <c r="C1" s="5" t="inlineStr">
        <is>
          <t>最高價參考</t>
        </is>
      </c>
      <c r="E1" s="41" t="inlineStr">
        <is>
          <t>ED匯率:</t>
        </is>
      </c>
      <c r="F1" s="41" t="n">
        <v>10000000</v>
      </c>
      <c r="G1" s="41" t="inlineStr">
        <is>
          <t>黑色碎片匯率:</t>
        </is>
      </c>
      <c r="H1" s="41" t="n">
        <v>500000000</v>
      </c>
      <c r="I1" s="41" t="inlineStr">
        <is>
          <t>轉點優惠:</t>
        </is>
      </c>
      <c r="J1" s="42" t="n">
        <v>0.87</v>
      </c>
      <c r="K1" s="41" t="inlineStr">
        <is>
          <t>美托龍(ED)</t>
        </is>
      </c>
      <c r="L1" t="n">
        <v>30000</v>
      </c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13" t="inlineStr">
        <is>
          <t>參考價(ED</t>
        </is>
      </c>
      <c r="E2" t="inlineStr">
        <is>
          <t>商城價(NT)</t>
        </is>
      </c>
      <c r="F2" t="inlineStr">
        <is>
          <t>商人價(NT)</t>
        </is>
      </c>
      <c r="G2" s="41" t="inlineStr">
        <is>
          <t>板子價(ED)</t>
        </is>
      </c>
      <c r="H2" s="41" t="inlineStr">
        <is>
          <t>黑色碎片換算</t>
        </is>
      </c>
      <c r="I2" t="inlineStr">
        <is>
          <t>已知成交價</t>
        </is>
      </c>
      <c r="J2" t="inlineStr">
        <is>
          <t>已知成交價NT</t>
        </is>
      </c>
      <c r="K2" t="inlineStr">
        <is>
          <t>已知成交價ED</t>
        </is>
      </c>
    </row>
    <row r="3" ht="16.5" customHeight="1" s="10">
      <c r="A3" s="2" t="inlineStr">
        <is>
          <t xml:space="preserve">層級一 </t>
        </is>
      </c>
      <c r="B3" s="19" t="n"/>
      <c r="C3" s="18" t="n"/>
      <c r="D3" s="19" t="n"/>
      <c r="E3" s="8" t="n"/>
      <c r="F3" s="8" t="n"/>
      <c r="G3" s="43" t="n"/>
      <c r="H3" s="43" t="n"/>
      <c r="I3" s="8" t="n"/>
      <c r="J3" s="8" t="n"/>
      <c r="K3" s="8" t="n"/>
    </row>
    <row r="4" ht="16.5" customHeight="1" s="10">
      <c r="A4" s="3" t="inlineStr">
        <is>
          <t>一般彈匣魔方</t>
        </is>
      </c>
      <c r="B4" s="44" t="n"/>
      <c r="C4" s="45" t="n"/>
      <c r="D4" s="46">
        <f>H1*H4</f>
        <v/>
      </c>
      <c r="F4" s="47">
        <f>J1*E4</f>
        <v/>
      </c>
      <c r="H4" s="41" t="n">
        <v>10</v>
      </c>
    </row>
    <row r="5" ht="16.5" customHeight="1" s="10">
      <c r="A5" s="3" t="inlineStr">
        <is>
          <t>黑色碎片2個</t>
        </is>
      </c>
      <c r="B5" s="44" t="n"/>
      <c r="C5" s="45" t="n"/>
      <c r="D5" s="44">
        <f>H1*H5</f>
        <v/>
      </c>
      <c r="F5" s="47">
        <f>J1*E5</f>
        <v/>
      </c>
      <c r="H5" s="41" t="n">
        <v>2</v>
      </c>
    </row>
    <row r="6" ht="16.5" customHeight="1" s="10">
      <c r="A6" s="3" t="inlineStr">
        <is>
          <t>[阿利爾] 防具選項轉換石3個</t>
        </is>
      </c>
      <c r="B6" s="44" t="n"/>
      <c r="C6" s="45" t="n"/>
      <c r="D6" s="44">
        <f>F1*F6</f>
        <v/>
      </c>
      <c r="E6">
        <f>29*3</f>
        <v/>
      </c>
      <c r="F6" s="47">
        <f>J1*E6</f>
        <v/>
      </c>
    </row>
    <row r="7" ht="16.5" customHeight="1" s="10">
      <c r="A7" s="3" t="inlineStr">
        <is>
          <t>[阿利爾] 防具選項備份卷1個</t>
        </is>
      </c>
      <c r="B7" s="44" t="n"/>
      <c r="C7" s="45" t="n"/>
      <c r="D7" s="44">
        <f>G7</f>
        <v/>
      </c>
      <c r="F7" s="47">
        <f>J1*E7</f>
        <v/>
      </c>
      <c r="G7" s="41" t="n">
        <v>100000000</v>
      </c>
    </row>
    <row r="8" ht="16.5" customHeight="1" s="10">
      <c r="A8" s="3" t="inlineStr">
        <is>
          <t>[阿利爾] 核心備份模塊1個</t>
        </is>
      </c>
      <c r="B8" s="44" t="n"/>
      <c r="C8" s="45" t="n"/>
      <c r="D8" s="44">
        <f>G8</f>
        <v/>
      </c>
      <c r="E8" t="n">
        <v>88</v>
      </c>
      <c r="F8" s="47" t="n"/>
      <c r="G8" s="41" t="n">
        <v>400000000</v>
      </c>
    </row>
    <row r="9" ht="16.5" customHeight="1" s="10">
      <c r="A9" s="3" t="inlineStr">
        <is>
          <t>每周鍛造材料1000個</t>
        </is>
      </c>
      <c r="B9" s="44" t="n"/>
      <c r="C9" s="45" t="n"/>
      <c r="D9" s="44">
        <f>G9</f>
        <v/>
      </c>
      <c r="F9" s="47">
        <f>E9*J1</f>
        <v/>
      </c>
      <c r="G9" s="41">
        <f>L1*100*1000</f>
        <v/>
      </c>
      <c r="I9" s="48" t="n"/>
      <c r="J9" s="48" t="n"/>
    </row>
    <row r="10" ht="16.5" customHeight="1" s="10">
      <c r="A10" s="2" t="inlineStr">
        <is>
          <t xml:space="preserve">層級二 </t>
        </is>
      </c>
      <c r="B10" s="49" t="n"/>
      <c r="C10" s="50" t="n"/>
      <c r="D10" s="49" t="n"/>
      <c r="E10" s="8" t="n"/>
      <c r="F10" s="8" t="n"/>
      <c r="G10" s="43" t="n"/>
      <c r="H10" s="43" t="n"/>
      <c r="I10" s="8" t="n"/>
      <c r="J10" s="8" t="n"/>
      <c r="K10" s="8" t="n"/>
    </row>
    <row r="11" ht="16.5" customHeight="1" s="10">
      <c r="A11" s="7" t="inlineStr">
        <is>
          <t>彈匣箱</t>
        </is>
      </c>
      <c r="B11" s="44" t="n"/>
      <c r="C11" s="45" t="n"/>
      <c r="D11" s="44">
        <f>H1*H11</f>
        <v/>
      </c>
      <c r="H11" s="41" t="n">
        <v>20</v>
      </c>
    </row>
    <row r="12" ht="16.5" customHeight="1" s="10">
      <c r="A12" s="3" t="inlineStr">
        <is>
          <t>黑色碎片4個</t>
        </is>
      </c>
      <c r="B12" s="44" t="n"/>
      <c r="C12" s="45" t="n"/>
      <c r="D12" s="44">
        <f>H1*H12</f>
        <v/>
      </c>
      <c r="H12" s="41" t="n">
        <v>4</v>
      </c>
    </row>
    <row r="13" ht="16.5" customHeight="1" s="10">
      <c r="A13" s="3" t="inlineStr">
        <is>
          <t>[阿利爾] 防具選項轉換石5個</t>
        </is>
      </c>
      <c r="B13" s="44" t="n"/>
      <c r="C13" s="45" t="n"/>
      <c r="D13" s="44">
        <f>F1*F13</f>
        <v/>
      </c>
      <c r="E13">
        <f>29*5</f>
        <v/>
      </c>
      <c r="F13" s="47">
        <f>E13*J1</f>
        <v/>
      </c>
    </row>
    <row r="14" ht="16.5" customHeight="1" s="10">
      <c r="A14" s="3" t="inlineStr">
        <is>
          <t>[阿利爾] 防具選項備份卷3個</t>
        </is>
      </c>
      <c r="B14" s="44" t="n"/>
      <c r="C14" s="45" t="n"/>
      <c r="D14" s="44">
        <f>G14</f>
        <v/>
      </c>
      <c r="G14" s="41">
        <f>G7*3</f>
        <v/>
      </c>
    </row>
    <row r="15" ht="16.5" customHeight="1" s="10">
      <c r="A15" s="3" t="inlineStr">
        <is>
          <t>[阿利爾] 核心備份模塊3個</t>
        </is>
      </c>
      <c r="B15" s="44" t="n"/>
      <c r="C15" s="45" t="n"/>
      <c r="D15" s="44">
        <f>G15</f>
        <v/>
      </c>
      <c r="E15">
        <f>E16*3</f>
        <v/>
      </c>
      <c r="F15" s="47" t="n"/>
      <c r="G15" s="41">
        <f>G16*3</f>
        <v/>
      </c>
    </row>
    <row r="16" ht="16.5" customHeight="1" s="10">
      <c r="A16" s="3" t="inlineStr">
        <is>
          <t>核心備份模塊1個</t>
        </is>
      </c>
      <c r="B16" s="44" t="n"/>
      <c r="C16" s="45" t="n"/>
      <c r="D16" s="44">
        <f>G16</f>
        <v/>
      </c>
      <c r="E16" t="n">
        <v>88</v>
      </c>
      <c r="F16" s="47" t="n"/>
      <c r="G16" s="41" t="n">
        <v>400000000</v>
      </c>
    </row>
    <row r="17" ht="16.5" customHeight="1" s="10">
      <c r="A17" s="3" t="inlineStr">
        <is>
          <t>每周鍛造材料2000個</t>
        </is>
      </c>
      <c r="B17" s="44" t="n"/>
      <c r="C17" s="45" t="n"/>
      <c r="D17" s="44">
        <f>G17</f>
        <v/>
      </c>
      <c r="G17" s="41">
        <f>L1*100*2000</f>
        <v/>
      </c>
      <c r="I17" s="48" t="n"/>
      <c r="J17" s="48" t="n"/>
    </row>
    <row r="18" ht="16.5" customHeight="1" s="10">
      <c r="A18" s="2" t="inlineStr">
        <is>
          <t xml:space="preserve">層級三 </t>
        </is>
      </c>
      <c r="B18" s="49" t="n"/>
      <c r="C18" s="50" t="n"/>
      <c r="D18" s="49" t="n"/>
      <c r="E18" s="8" t="n"/>
      <c r="F18" s="8" t="n"/>
      <c r="G18" s="43" t="n"/>
      <c r="H18" s="43" t="n"/>
      <c r="I18" s="8" t="n"/>
      <c r="J18" s="8" t="n"/>
      <c r="K18" s="8" t="n"/>
    </row>
    <row r="19" ht="16.5" customHeight="1" s="10">
      <c r="A19" s="3" t="inlineStr">
        <is>
          <t>核心1個</t>
        </is>
      </c>
      <c r="B19" s="44" t="n"/>
      <c r="C19" s="45" t="n"/>
      <c r="D19" s="44">
        <f>H1*H19</f>
        <v/>
      </c>
      <c r="H19" s="41" t="n">
        <v>60</v>
      </c>
    </row>
    <row r="20" ht="16.5" customHeight="1" s="10">
      <c r="A20" s="3" t="inlineStr">
        <is>
          <t>[阿利爾] 內布隆原型選擇箱</t>
        </is>
      </c>
      <c r="B20" s="44" t="n"/>
      <c r="C20" s="45" t="n"/>
      <c r="D20" s="44">
        <f>H1*H20</f>
        <v/>
      </c>
      <c r="H20" s="41" t="n">
        <v>80</v>
      </c>
    </row>
    <row r="21" ht="16.5" customHeight="1" s="10">
      <c r="A21" s="3" t="inlineStr">
        <is>
          <t>超彈匣魔方</t>
        </is>
      </c>
      <c r="B21" s="44" t="n"/>
      <c r="C21" s="45" t="n"/>
      <c r="D21" s="44">
        <f>H1*H21</f>
        <v/>
      </c>
      <c r="H21" s="41" t="n">
        <v>40</v>
      </c>
    </row>
    <row r="22" ht="16.5" customHeight="1" s="10">
      <c r="A22" s="3" t="inlineStr">
        <is>
          <t>[阿利爾] 防具選項轉換石10個</t>
        </is>
      </c>
      <c r="B22" s="44" t="n"/>
      <c r="C22" s="45" t="n"/>
      <c r="D22" s="44">
        <f>F22*F1</f>
        <v/>
      </c>
      <c r="E22">
        <f>29*10</f>
        <v/>
      </c>
      <c r="F22" s="47">
        <f>E22*J1</f>
        <v/>
      </c>
    </row>
    <row r="23" ht="16.5" customHeight="1" s="10">
      <c r="A23" s="3" t="inlineStr">
        <is>
          <t>支援 &amp; 戰鬥 &amp; 通用彈匣選擇箱</t>
        </is>
      </c>
      <c r="B23" s="44" t="n"/>
      <c r="C23" s="45" t="n"/>
      <c r="D23" s="44">
        <f>H1*H23</f>
        <v/>
      </c>
      <c r="H23" s="41" t="n">
        <v>60</v>
      </c>
    </row>
    <row r="24" ht="16.5" customHeight="1" s="10">
      <c r="A24" s="3" t="inlineStr">
        <is>
          <t>[阿利爾] 核心備份模塊10個</t>
        </is>
      </c>
      <c r="B24" s="44" t="n"/>
      <c r="C24" s="45" t="n"/>
      <c r="D24" s="44">
        <f>G24</f>
        <v/>
      </c>
      <c r="E24">
        <f>E16*10</f>
        <v/>
      </c>
      <c r="G24" s="41">
        <f>G16*10</f>
        <v/>
      </c>
    </row>
    <row r="25" ht="16.5" customHeight="1" s="10">
      <c r="A25" s="3" t="inlineStr">
        <is>
          <t>核心備份模塊5個</t>
        </is>
      </c>
      <c r="B25" s="44" t="n"/>
      <c r="C25" s="45" t="n"/>
      <c r="D25" s="44">
        <f>G25</f>
        <v/>
      </c>
      <c r="E25">
        <f>E16*5</f>
        <v/>
      </c>
      <c r="G25" s="41">
        <f>G16*5</f>
        <v/>
      </c>
    </row>
    <row r="26" ht="16.5" customHeight="1" s="10">
      <c r="A26" s="2" t="inlineStr">
        <is>
          <t xml:space="preserve">層級四 </t>
        </is>
      </c>
      <c r="B26" s="49" t="n"/>
      <c r="C26" s="50" t="n"/>
      <c r="D26" s="49" t="n"/>
      <c r="E26" s="8" t="n"/>
      <c r="F26" s="8" t="n"/>
      <c r="G26" s="43" t="n"/>
      <c r="H26" s="43" t="n"/>
      <c r="I26" s="8" t="n"/>
      <c r="J26" s="8" t="n"/>
      <c r="K26" s="8" t="n"/>
    </row>
    <row r="27" ht="16.5" customHeight="1" s="10">
      <c r="A27" s="3" t="inlineStr">
        <is>
          <t>穩定的核心1個</t>
        </is>
      </c>
      <c r="B27" s="44" t="n"/>
      <c r="C27" s="45" t="n"/>
      <c r="D27" s="44">
        <f>H1*H27</f>
        <v/>
      </c>
      <c r="H27" s="41" t="n">
        <v>60</v>
      </c>
    </row>
    <row r="28" ht="16.5" customHeight="1" s="10">
      <c r="A28" s="3" t="inlineStr">
        <is>
          <t>內布隆原型選擇箱</t>
        </is>
      </c>
      <c r="B28" s="44" t="n"/>
      <c r="C28" s="45" t="n"/>
      <c r="D28" s="44">
        <f>H1*H28</f>
        <v/>
      </c>
      <c r="H28" s="41" t="n">
        <v>80</v>
      </c>
    </row>
    <row r="29" ht="16.5" customHeight="1" s="10">
      <c r="A29" s="3" t="inlineStr">
        <is>
          <t>超彈匣選擇箱</t>
        </is>
      </c>
      <c r="B29" s="44" t="n"/>
      <c r="C29" s="45" t="n"/>
      <c r="D29" s="44">
        <f>H1*H29</f>
        <v/>
      </c>
      <c r="H29" s="41" t="n">
        <v>100</v>
      </c>
    </row>
    <row r="30" ht="16.5" customHeight="1" s="10">
      <c r="A30" s="3" t="inlineStr">
        <is>
          <t>[阿利爾] 1%電路T板選擇箱</t>
        </is>
      </c>
      <c r="B30" s="44" t="n"/>
      <c r="C30" s="45" t="n"/>
      <c r="D30" s="44">
        <f>F1*F30</f>
        <v/>
      </c>
      <c r="F30" t="n">
        <v>1000</v>
      </c>
    </row>
    <row r="31" ht="16.5" customHeight="1" s="10">
      <c r="A31" s="3" t="inlineStr">
        <is>
          <t>[阿利爾] 1%電路L板選擇箱</t>
        </is>
      </c>
      <c r="B31" s="44" t="n"/>
      <c r="C31" s="45" t="n"/>
      <c r="D31" s="44">
        <f>F1*F31</f>
        <v/>
      </c>
      <c r="F31" t="n">
        <v>1000</v>
      </c>
    </row>
    <row r="32" ht="16.5" customHeight="1" s="10">
      <c r="A32" s="3" t="inlineStr">
        <is>
          <t>[阿利爾] 防具選項轉換石15個</t>
        </is>
      </c>
      <c r="B32" s="44" t="n"/>
      <c r="C32" s="45" t="n"/>
      <c r="D32" s="44">
        <f>F32*F1</f>
        <v/>
      </c>
      <c r="E32">
        <f>29*15</f>
        <v/>
      </c>
      <c r="F32" s="47">
        <f>E32*J1</f>
        <v/>
      </c>
    </row>
    <row r="33" ht="16.5" customHeight="1" s="10">
      <c r="A33" s="3" t="inlineStr">
        <is>
          <t>[阿利爾] 核心備份模塊15個</t>
        </is>
      </c>
      <c r="B33" s="44" t="n"/>
      <c r="C33" s="45" t="n"/>
      <c r="D33" s="44">
        <f>G33</f>
        <v/>
      </c>
      <c r="E33">
        <f>E16*15</f>
        <v/>
      </c>
      <c r="G33" s="41">
        <f>G16*15</f>
        <v/>
      </c>
    </row>
    <row r="34" ht="16.5" customHeight="1" s="10">
      <c r="A34" s="3" t="inlineStr">
        <is>
          <t>核心備份模塊7個</t>
        </is>
      </c>
      <c r="B34" s="44" t="n"/>
      <c r="C34" s="45" t="n"/>
      <c r="D34" s="44">
        <f>G34</f>
        <v/>
      </c>
      <c r="E34">
        <f>E16*7</f>
        <v/>
      </c>
      <c r="G34" s="41">
        <f>G16*7</f>
        <v/>
      </c>
    </row>
    <row r="35" ht="16.5" customHeight="1" s="10">
      <c r="A35" s="2" t="inlineStr">
        <is>
          <t xml:space="preserve">層級五 </t>
        </is>
      </c>
      <c r="B35" s="49" t="n"/>
      <c r="C35" s="50" t="n"/>
      <c r="D35" s="49" t="n"/>
      <c r="E35" s="8" t="n"/>
      <c r="F35" s="8" t="n"/>
      <c r="G35" s="43" t="n"/>
      <c r="H35" s="43" t="n"/>
      <c r="I35" s="8" t="n"/>
      <c r="J35" s="8" t="n"/>
      <c r="K35" s="8" t="n"/>
    </row>
    <row r="36" ht="16.5" customHeight="1" s="10">
      <c r="A36" s="3" t="inlineStr">
        <is>
          <t>[阿利爾] 死級詞條升級券1個</t>
        </is>
      </c>
      <c r="B36" s="44" t="n"/>
      <c r="C36" s="45" t="n"/>
      <c r="D36" s="44" t="inlineStr">
        <is>
          <t>TBA</t>
        </is>
      </c>
    </row>
    <row r="37" ht="16.5" customHeight="1" s="10">
      <c r="A37" s="3" t="inlineStr">
        <is>
          <t>[阿利爾] 防具詞條升級券1個</t>
        </is>
      </c>
      <c r="B37" s="44" t="n"/>
      <c r="C37" s="45" t="n"/>
      <c r="D37" s="44" t="inlineStr">
        <is>
          <t>TBA</t>
        </is>
      </c>
    </row>
    <row r="38" ht="16.5" customHeight="1" s="10">
      <c r="A38" s="3" t="inlineStr">
        <is>
          <t>[阿利爾] 複製電路選擇箱</t>
        </is>
      </c>
      <c r="B38" s="44" t="n"/>
      <c r="C38" s="45" t="n"/>
      <c r="D38" s="44">
        <f>F1*F38</f>
        <v/>
      </c>
      <c r="F38" t="n">
        <v>2000</v>
      </c>
    </row>
    <row r="39" ht="16.5" customHeight="1" s="10">
      <c r="A39" s="3" t="inlineStr">
        <is>
          <t>[阿利爾] 防具選項轉換石20個</t>
        </is>
      </c>
      <c r="B39" s="44" t="n"/>
      <c r="C39" s="45" t="n"/>
      <c r="D39" s="44">
        <f>F1*F39</f>
        <v/>
      </c>
      <c r="E39">
        <f>29*20</f>
        <v/>
      </c>
      <c r="F39" s="47">
        <f>E39*J1</f>
        <v/>
      </c>
    </row>
    <row r="40" ht="16.5" customHeight="1" s="10">
      <c r="A40" s="3" t="inlineStr">
        <is>
          <t>[阿利爾] 核心備份模塊20個</t>
        </is>
      </c>
      <c r="B40" s="44" t="n"/>
      <c r="C40" s="45" t="n"/>
      <c r="D40" s="44">
        <f>G40</f>
        <v/>
      </c>
      <c r="E40">
        <f>E16*20</f>
        <v/>
      </c>
      <c r="G40" s="41">
        <f>G16*20</f>
        <v/>
      </c>
    </row>
    <row r="41" ht="16.5" customHeight="1" s="10">
      <c r="A41" s="3" t="inlineStr">
        <is>
          <t>核心備份模塊10個</t>
        </is>
      </c>
      <c r="B41" s="44" t="n"/>
      <c r="C41" s="45" t="n"/>
      <c r="D41" s="44">
        <f>G41</f>
        <v/>
      </c>
      <c r="E41">
        <f>E16*10</f>
        <v/>
      </c>
      <c r="G41" s="41">
        <f>G16*10</f>
        <v/>
      </c>
    </row>
    <row r="42">
      <c r="A42" s="8" t="n"/>
      <c r="B42" s="51" t="n"/>
      <c r="C42" s="52" t="n"/>
      <c r="D42" s="51" t="n"/>
      <c r="E42" s="8" t="n"/>
      <c r="F42" s="8" t="n"/>
      <c r="G42" s="43" t="n"/>
      <c r="H42" s="43" t="n"/>
      <c r="I42" s="8" t="n"/>
      <c r="J42" s="8" t="n"/>
      <c r="K42" s="8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41"/>
  <sheetViews>
    <sheetView workbookViewId="0">
      <selection activeCell="B17" sqref="B17"/>
    </sheetView>
  </sheetViews>
  <sheetFormatPr baseColWidth="8" defaultRowHeight="15.75"/>
  <cols>
    <col width="9.140625" customWidth="1" style="10" min="2" max="2"/>
  </cols>
  <sheetData>
    <row r="2">
      <c r="A2" s="1" t="inlineStr">
        <is>
          <t>【黑暗精靈黑市 - 可能出現的拍賣品】</t>
        </is>
      </c>
    </row>
    <row r="3">
      <c r="A3" s="2" t="inlineStr">
        <is>
          <t xml:space="preserve">層級一 </t>
        </is>
      </c>
    </row>
    <row r="4">
      <c r="A4" s="3" t="inlineStr">
        <is>
          <t>一般彈匣魔方</t>
        </is>
      </c>
    </row>
    <row r="5">
      <c r="A5" s="3" t="inlineStr">
        <is>
          <t>黑色碎片2個</t>
        </is>
      </c>
    </row>
    <row r="6">
      <c r="A6" s="3" t="inlineStr">
        <is>
          <t>[阿利爾] 防具選項轉換石3個</t>
        </is>
      </c>
    </row>
    <row r="7">
      <c r="A7" s="3" t="inlineStr">
        <is>
          <t>[阿利爾] 防具選項備份卷1個</t>
        </is>
      </c>
    </row>
    <row r="8">
      <c r="A8" s="3" t="inlineStr">
        <is>
          <t>[阿利爾] 核心備份模塊1個</t>
        </is>
      </c>
    </row>
    <row r="9">
      <c r="A9" s="3" t="inlineStr">
        <is>
          <t>每周鍛造材料1000個</t>
        </is>
      </c>
    </row>
    <row r="10">
      <c r="A10" s="2" t="inlineStr">
        <is>
          <t xml:space="preserve">層級二 </t>
        </is>
      </c>
    </row>
    <row r="11">
      <c r="A11" s="3" t="inlineStr">
        <is>
          <t>彈匣魔方</t>
        </is>
      </c>
    </row>
    <row r="12">
      <c r="A12" s="3" t="inlineStr">
        <is>
          <t>黑色碎片4個</t>
        </is>
      </c>
    </row>
    <row r="13">
      <c r="A13" s="3" t="inlineStr">
        <is>
          <t>[阿利爾] 防具選項轉換石5個</t>
        </is>
      </c>
    </row>
    <row r="14">
      <c r="A14" s="3" t="inlineStr">
        <is>
          <t>[阿利爾] 防具選項備份卷3個</t>
        </is>
      </c>
    </row>
    <row r="15">
      <c r="A15" s="3" t="inlineStr">
        <is>
          <t>[阿利爾] 核心備份模塊3個</t>
        </is>
      </c>
    </row>
    <row r="16">
      <c r="A16" s="3" t="inlineStr">
        <is>
          <t>核心備份模塊1個</t>
        </is>
      </c>
    </row>
    <row r="17">
      <c r="A17" s="3" t="inlineStr">
        <is>
          <t>每周鍛造材料2000個</t>
        </is>
      </c>
    </row>
    <row r="18">
      <c r="A18" s="2" t="inlineStr">
        <is>
          <t xml:space="preserve">層級三 </t>
        </is>
      </c>
    </row>
    <row r="19">
      <c r="A19" s="3" t="inlineStr">
        <is>
          <t>核心1個</t>
        </is>
      </c>
    </row>
    <row r="20">
      <c r="A20" s="3" t="inlineStr">
        <is>
          <t>[阿利爾] 內布隆原型選擇箱</t>
        </is>
      </c>
    </row>
    <row r="21">
      <c r="A21" s="3" t="inlineStr">
        <is>
          <t>超彈匣魔方</t>
        </is>
      </c>
    </row>
    <row r="22">
      <c r="A22" s="3" t="inlineStr">
        <is>
          <t>[阿利爾] 防具選項轉換石10個</t>
        </is>
      </c>
    </row>
    <row r="23">
      <c r="A23" s="3" t="inlineStr">
        <is>
          <t>支援 &amp; 戰鬥 &amp; 通用彈匣選擇箱</t>
        </is>
      </c>
    </row>
    <row r="24">
      <c r="A24" s="3" t="inlineStr">
        <is>
          <t>[阿利爾] 核心備份模塊10個</t>
        </is>
      </c>
    </row>
    <row r="25">
      <c r="A25" s="3" t="inlineStr">
        <is>
          <t>核心備份模塊5個</t>
        </is>
      </c>
    </row>
    <row r="26">
      <c r="A26" s="2" t="inlineStr">
        <is>
          <t xml:space="preserve">層級四 </t>
        </is>
      </c>
    </row>
    <row r="27">
      <c r="A27" s="3" t="inlineStr">
        <is>
          <t>穩定的核心1個</t>
        </is>
      </c>
    </row>
    <row r="28">
      <c r="A28" s="3" t="inlineStr">
        <is>
          <t>內布隆原型選擇箱</t>
        </is>
      </c>
    </row>
    <row r="29">
      <c r="A29" s="3" t="inlineStr">
        <is>
          <t>超彈匣選擇箱</t>
        </is>
      </c>
    </row>
    <row r="30">
      <c r="A30" s="3" t="inlineStr">
        <is>
          <t>[阿利爾] 1%電路T板選擇箱</t>
        </is>
      </c>
    </row>
    <row r="31">
      <c r="A31" s="3" t="inlineStr">
        <is>
          <t>[阿利爾] 1%電路L板選擇箱</t>
        </is>
      </c>
    </row>
    <row r="32">
      <c r="A32" s="3" t="inlineStr">
        <is>
          <t>[阿利爾] 防具選項轉換石15個</t>
        </is>
      </c>
    </row>
    <row r="33">
      <c r="A33" s="3" t="inlineStr">
        <is>
          <t>[阿利爾] 核心備份模塊15個</t>
        </is>
      </c>
    </row>
    <row r="34">
      <c r="A34" s="3" t="inlineStr">
        <is>
          <t>核心備份模塊7個</t>
        </is>
      </c>
    </row>
    <row r="35">
      <c r="A35" s="2" t="inlineStr">
        <is>
          <t xml:space="preserve">層級五 </t>
        </is>
      </c>
    </row>
    <row r="36">
      <c r="A36" s="3" t="inlineStr">
        <is>
          <t>[阿利爾] 死級詞條升級券1個</t>
        </is>
      </c>
    </row>
    <row r="37">
      <c r="A37" s="3" t="inlineStr">
        <is>
          <t>[阿利爾] 防具詞條升級券1個</t>
        </is>
      </c>
    </row>
    <row r="38">
      <c r="A38" s="3" t="inlineStr">
        <is>
          <t>[阿利爾] 複製電路選擇箱</t>
        </is>
      </c>
    </row>
    <row r="39">
      <c r="A39" s="3" t="inlineStr">
        <is>
          <t>[阿利爾] 防具選項轉換石20個</t>
        </is>
      </c>
    </row>
    <row r="40">
      <c r="A40" s="3" t="inlineStr">
        <is>
          <t>[阿利爾] 核心備份模塊20個</t>
        </is>
      </c>
    </row>
    <row r="41">
      <c r="A41" s="3" t="inlineStr">
        <is>
          <t>核心備份模塊10個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zoomScale="85" zoomScaleNormal="85" workbookViewId="0">
      <selection activeCell="G9" sqref="G9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1" min="7" max="8"/>
    <col width="18.28515625" customWidth="1" style="10" min="9" max="10"/>
    <col width="18.140625" customWidth="1" style="10" min="11" max="11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inlineStr">
        <is>
          <t>成交ED名目紀錄</t>
        </is>
      </c>
      <c r="E1" s="53" t="inlineStr">
        <is>
          <t>ED比值</t>
        </is>
      </c>
      <c r="F1" s="41" t="n"/>
      <c r="H1" t="n"/>
      <c r="I1" s="41" t="n"/>
      <c r="J1" s="42" t="n"/>
      <c r="K1" s="41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4" t="n">
        <v>46291</v>
      </c>
      <c r="E2" s="55" t="n">
        <v>10000000</v>
      </c>
    </row>
    <row r="3" ht="16.5" customHeight="1" s="10">
      <c r="A3" s="2" t="inlineStr">
        <is>
          <t xml:space="preserve">層級一 </t>
        </is>
      </c>
      <c r="B3" s="49" t="n"/>
      <c r="C3" s="50" t="n"/>
      <c r="D3" s="49" t="n"/>
      <c r="E3" s="56" t="n"/>
      <c r="F3" s="56" t="n"/>
      <c r="G3" s="56" t="n"/>
      <c r="H3" s="56" t="n"/>
      <c r="I3" s="56" t="n"/>
      <c r="J3" s="56" t="n"/>
      <c r="K3" s="56" t="n"/>
    </row>
    <row r="4" ht="16.5" customHeight="1" s="10">
      <c r="A4" s="3" t="inlineStr">
        <is>
          <t>一般彈匣魔方</t>
        </is>
      </c>
      <c r="B4" s="44">
        <f>MIN(D4:K4)</f>
        <v/>
      </c>
      <c r="C4" s="45">
        <f>MAX(D4:K4)</f>
        <v/>
      </c>
      <c r="D4" s="46" t="n">
        <v>607753125</v>
      </c>
      <c r="E4" s="57" t="n">
        <v>840000000</v>
      </c>
      <c r="F4" s="57" t="n">
        <v>804057383</v>
      </c>
      <c r="G4" s="57" t="n">
        <v>1000000000</v>
      </c>
      <c r="H4" s="57" t="n">
        <v>738727721</v>
      </c>
      <c r="I4" s="57" t="n">
        <v>1276281562</v>
      </c>
      <c r="J4" s="57" t="n"/>
      <c r="K4" s="57" t="n"/>
    </row>
    <row r="5" ht="16.5" customHeight="1" s="10">
      <c r="A5" s="3" t="inlineStr">
        <is>
          <t>黑色碎片2個</t>
        </is>
      </c>
      <c r="B5" s="44">
        <f>MIN(D5:K5)</f>
        <v/>
      </c>
      <c r="C5" s="45">
        <f>MAX(D5:K5)</f>
        <v/>
      </c>
      <c r="D5" s="44" t="n">
        <v>1039464085</v>
      </c>
      <c r="E5" s="57" t="n"/>
      <c r="F5" s="57" t="n"/>
      <c r="G5" s="57" t="n"/>
      <c r="H5" s="57" t="n"/>
      <c r="I5" s="57" t="n"/>
      <c r="J5" s="57" t="n"/>
      <c r="K5" s="57" t="n"/>
    </row>
    <row r="6" ht="16.5" customHeight="1" s="10">
      <c r="A6" s="3" t="inlineStr">
        <is>
          <t>[阿利爾] 防具選項轉換石3個</t>
        </is>
      </c>
      <c r="B6" s="44">
        <f>MIN(D6:K6)</f>
        <v/>
      </c>
      <c r="C6" s="45">
        <f>MAX(D6:K6)</f>
        <v/>
      </c>
      <c r="D6" s="44" t="n">
        <v>661500000</v>
      </c>
      <c r="E6" s="57" t="n">
        <v>281420083</v>
      </c>
      <c r="F6" s="57" t="n">
        <v>893397093</v>
      </c>
      <c r="G6" s="57" t="n"/>
      <c r="H6" s="57" t="n"/>
      <c r="I6" s="57" t="n"/>
      <c r="J6" s="57" t="n"/>
      <c r="K6" s="57" t="n"/>
    </row>
    <row r="7" ht="16.5" customHeight="1" s="10">
      <c r="A7" s="3" t="inlineStr">
        <is>
          <t>[阿利爾] 防具選項備份卷1個</t>
        </is>
      </c>
      <c r="B7" s="44">
        <f>MIN(D7:K7)</f>
        <v/>
      </c>
      <c r="C7" s="45">
        <f>MAX(D7:K7)</f>
        <v/>
      </c>
      <c r="D7" s="44" t="n">
        <v>252000000</v>
      </c>
      <c r="E7" s="57" t="n"/>
      <c r="F7" s="57" t="n"/>
      <c r="G7" s="57" t="n"/>
      <c r="H7" s="57" t="n"/>
      <c r="I7" s="57" t="n"/>
      <c r="J7" s="57" t="n"/>
      <c r="K7" s="57" t="n"/>
    </row>
    <row r="8" ht="16.5" customHeight="1" s="10">
      <c r="A8" s="3" t="inlineStr">
        <is>
          <t>[阿利爾] 核心備份模塊1個</t>
        </is>
      </c>
      <c r="B8" s="44">
        <f>MIN(D8:K8)</f>
        <v/>
      </c>
      <c r="C8" s="45">
        <f>MAX(D8:K8)</f>
        <v/>
      </c>
      <c r="D8" s="44" t="n"/>
      <c r="E8" s="57" t="n"/>
      <c r="F8" s="57" t="n"/>
      <c r="G8" s="57" t="n"/>
      <c r="H8" s="57" t="n"/>
      <c r="I8" s="57" t="n"/>
      <c r="J8" s="57" t="n"/>
      <c r="K8" s="57" t="n"/>
    </row>
    <row r="9" ht="16.5" customHeight="1" s="10">
      <c r="A9" s="3" t="inlineStr">
        <is>
          <t>每周鍛造材料1000個</t>
        </is>
      </c>
      <c r="B9" s="44">
        <f>MIN(D9:K9)</f>
        <v/>
      </c>
      <c r="C9" s="45">
        <f>MAX(D9:K9)</f>
        <v/>
      </c>
      <c r="D9" s="44" t="n">
        <v>422130125</v>
      </c>
      <c r="E9" s="57" t="n">
        <v>1100000000</v>
      </c>
      <c r="F9" s="57" t="n"/>
      <c r="G9" s="57" t="n"/>
      <c r="H9" s="57" t="n"/>
      <c r="I9" s="57" t="n"/>
      <c r="J9" s="57" t="n"/>
      <c r="K9" s="57" t="n"/>
    </row>
    <row r="10" ht="16.5" customHeight="1" s="10">
      <c r="A10" s="2" t="inlineStr">
        <is>
          <t xml:space="preserve">層級二 </t>
        </is>
      </c>
      <c r="B10" s="58" t="n"/>
      <c r="C10" s="59" t="n"/>
      <c r="D10" s="49" t="n"/>
      <c r="E10" s="56" t="n"/>
      <c r="F10" s="56" t="n"/>
      <c r="G10" s="56" t="n"/>
      <c r="H10" s="56" t="n"/>
      <c r="I10" s="56" t="n"/>
      <c r="J10" s="56" t="n"/>
      <c r="K10" s="56" t="n"/>
    </row>
    <row r="11" ht="16.5" customHeight="1" s="10">
      <c r="A11" s="7" t="inlineStr">
        <is>
          <t>彈匣箱</t>
        </is>
      </c>
      <c r="B11" s="44">
        <f>MIN(D11:K11)</f>
        <v/>
      </c>
      <c r="C11" s="45">
        <f>MAX(D11:K11)</f>
        <v/>
      </c>
      <c r="D11" s="44" t="n">
        <v>2205000000</v>
      </c>
      <c r="E11" s="57" t="n"/>
      <c r="F11" s="57" t="n"/>
      <c r="G11" s="57" t="n"/>
      <c r="H11" s="57" t="n"/>
      <c r="I11" s="57" t="n"/>
      <c r="J11" s="57" t="n"/>
      <c r="K11" s="57" t="n"/>
    </row>
    <row r="12" ht="16.5" customHeight="1" s="10">
      <c r="A12" s="3" t="inlineStr">
        <is>
          <t>黑色碎片4個</t>
        </is>
      </c>
      <c r="B12" s="44">
        <f>MIN(D12:K12)</f>
        <v/>
      </c>
      <c r="C12" s="45">
        <f>MAX(D12:K12)</f>
        <v/>
      </c>
      <c r="D12" s="44" t="n">
        <v>525000000</v>
      </c>
      <c r="E12" s="57" t="n">
        <v>670000000</v>
      </c>
      <c r="F12" s="57" t="n"/>
      <c r="G12" s="57" t="n"/>
      <c r="H12" s="57" t="n"/>
      <c r="I12" s="57" t="n"/>
      <c r="J12" s="57" t="n"/>
      <c r="K12" s="57" t="n"/>
    </row>
    <row r="13" ht="16.5" customHeight="1" s="10">
      <c r="A13" s="3" t="inlineStr">
        <is>
          <t>[阿利爾] 防具選項轉換石5個</t>
        </is>
      </c>
      <c r="B13" s="44">
        <f>MIN(D13:K13)</f>
        <v/>
      </c>
      <c r="C13" s="45">
        <f>MAX(D13:K13)</f>
        <v/>
      </c>
      <c r="D13" s="44" t="n">
        <v>600000000</v>
      </c>
      <c r="E13" s="57" t="n">
        <v>1102500000</v>
      </c>
      <c r="F13" s="57" t="n">
        <v>1102500000</v>
      </c>
      <c r="G13" s="57" t="n">
        <v>1157625000</v>
      </c>
      <c r="H13" s="57" t="n">
        <v>1215506250</v>
      </c>
      <c r="I13" s="57" t="n"/>
      <c r="J13" s="57" t="n"/>
      <c r="K13" s="57" t="n"/>
    </row>
    <row r="14" ht="16.5" customHeight="1" s="10">
      <c r="A14" s="3" t="inlineStr">
        <is>
          <t>[阿利爾] 防具選項備份卷3個</t>
        </is>
      </c>
      <c r="B14" s="44">
        <f>MIN(D14:K14)</f>
        <v/>
      </c>
      <c r="C14" s="45">
        <f>MAX(D14:K14)</f>
        <v/>
      </c>
      <c r="D14" s="44" t="n">
        <v>703550211</v>
      </c>
      <c r="E14" s="57" t="n">
        <v>765768937</v>
      </c>
      <c r="F14" s="57" t="n">
        <v>1215506250</v>
      </c>
      <c r="G14" s="57" t="n"/>
      <c r="H14" s="57" t="n"/>
      <c r="I14" s="57" t="n"/>
      <c r="J14" s="57" t="n"/>
      <c r="K14" s="57" t="n"/>
    </row>
    <row r="15" ht="16.5" customHeight="1" s="10">
      <c r="A15" s="3" t="inlineStr">
        <is>
          <t>[阿利爾] 核心備份模塊3個</t>
        </is>
      </c>
      <c r="B15" s="44">
        <f>MIN(D15:K15)</f>
        <v/>
      </c>
      <c r="C15" s="45">
        <f>MAX(D15:K15)</f>
        <v/>
      </c>
      <c r="D15" s="44" t="n"/>
      <c r="E15" s="57" t="n"/>
      <c r="F15" s="57" t="n"/>
      <c r="G15" s="57" t="n"/>
      <c r="H15" s="57" t="n"/>
      <c r="I15" s="57" t="n"/>
      <c r="J15" s="57" t="n"/>
      <c r="K15" s="57" t="n"/>
    </row>
    <row r="16" ht="16.5" customHeight="1" s="10">
      <c r="A16" s="3" t="inlineStr">
        <is>
          <t>核心備份模塊1個</t>
        </is>
      </c>
      <c r="B16" s="44">
        <f>MIN(D16:K16)</f>
        <v/>
      </c>
      <c r="C16" s="45">
        <f>MAX(D16:K16)</f>
        <v/>
      </c>
      <c r="D16" s="44" t="n">
        <v>100000000</v>
      </c>
      <c r="E16" s="57" t="n">
        <v>15000000</v>
      </c>
      <c r="F16" s="57" t="n">
        <v>105000000</v>
      </c>
      <c r="G16" s="57" t="n">
        <v>330750000</v>
      </c>
      <c r="H16" s="57" t="n">
        <v>100000000</v>
      </c>
      <c r="I16" s="57" t="n">
        <v>26250000</v>
      </c>
      <c r="J16" s="57" t="n"/>
      <c r="K16" s="57" t="n"/>
    </row>
    <row r="17" ht="16.5" customHeight="1" s="10">
      <c r="A17" s="3" t="inlineStr">
        <is>
          <t>每周鍛造材料2000個</t>
        </is>
      </c>
      <c r="B17" s="44">
        <f>MIN(D17:K17)</f>
        <v/>
      </c>
      <c r="C17" s="45">
        <f>MAX(D17:K17)</f>
        <v/>
      </c>
      <c r="D17" s="44" t="n">
        <v>864388452</v>
      </c>
      <c r="E17" s="57" t="n"/>
      <c r="F17" s="57" t="n"/>
      <c r="G17" s="57" t="n"/>
      <c r="H17" s="57" t="n"/>
      <c r="I17" s="57" t="n"/>
      <c r="J17" s="57" t="n"/>
      <c r="K17" s="57" t="n"/>
    </row>
    <row r="18" ht="16.5" customHeight="1" s="10">
      <c r="A18" s="2" t="inlineStr">
        <is>
          <t xml:space="preserve">層級三 </t>
        </is>
      </c>
      <c r="B18" s="58" t="n"/>
      <c r="C18" s="59" t="n"/>
      <c r="D18" s="49" t="n"/>
      <c r="E18" s="56" t="n"/>
      <c r="F18" s="56" t="n"/>
      <c r="G18" s="56" t="n"/>
      <c r="H18" s="56" t="n"/>
      <c r="I18" s="56" t="n"/>
      <c r="J18" s="56" t="n"/>
      <c r="K18" s="56" t="n"/>
    </row>
    <row r="19" ht="16.5" customHeight="1" s="10">
      <c r="A19" s="3" t="inlineStr">
        <is>
          <t>核心1個</t>
        </is>
      </c>
      <c r="B19" s="44">
        <f>MIN(D19:K19)</f>
        <v/>
      </c>
      <c r="C19" s="45">
        <f>MAX(D19:K19)</f>
        <v/>
      </c>
      <c r="D19" s="44" t="n">
        <v>26532977040</v>
      </c>
      <c r="E19" s="57" t="n">
        <v>18573083924</v>
      </c>
      <c r="F19" s="57" t="n"/>
      <c r="G19" s="57" t="n"/>
      <c r="H19" s="57" t="n"/>
      <c r="I19" s="57" t="n"/>
      <c r="J19" s="57" t="n"/>
      <c r="K19" s="57" t="n"/>
    </row>
    <row r="20" ht="16.5" customHeight="1" s="10">
      <c r="A20" s="3" t="inlineStr">
        <is>
          <t>[阿利爾] 內布隆原型選擇箱</t>
        </is>
      </c>
      <c r="B20" s="44">
        <f>MIN(D20:K20)</f>
        <v/>
      </c>
      <c r="C20" s="45">
        <f>MAX(D20:K20)</f>
        <v/>
      </c>
      <c r="D20" s="44" t="n"/>
      <c r="E20" s="57" t="n"/>
      <c r="F20" s="57" t="n"/>
      <c r="G20" s="57" t="n"/>
      <c r="H20" s="57" t="n"/>
      <c r="I20" s="57" t="n"/>
      <c r="J20" s="57" t="n"/>
      <c r="K20" s="57" t="n"/>
    </row>
    <row r="21" ht="16.5" customHeight="1" s="10">
      <c r="A21" s="3" t="inlineStr">
        <is>
          <t>超彈匣魔方</t>
        </is>
      </c>
      <c r="B21" s="44">
        <f>MIN(D21:K21)</f>
        <v/>
      </c>
      <c r="C21" s="45">
        <f>MAX(D21:K21)</f>
        <v/>
      </c>
      <c r="E21" s="57" t="n"/>
      <c r="F21" s="57" t="n"/>
      <c r="G21" s="57" t="n"/>
      <c r="H21" s="57" t="n"/>
      <c r="I21" s="57" t="n"/>
      <c r="J21" s="57" t="n"/>
      <c r="K21" s="57" t="n"/>
    </row>
    <row r="22" ht="16.5" customHeight="1" s="10">
      <c r="A22" s="3" t="inlineStr">
        <is>
          <t>[阿利爾] 防具選項轉換石10個</t>
        </is>
      </c>
      <c r="B22" s="44">
        <f>MIN(D22:K22)</f>
        <v/>
      </c>
      <c r="C22" s="45">
        <f>MAX(D22:K22)</f>
        <v/>
      </c>
      <c r="D22" s="44" t="n">
        <v>3000000000</v>
      </c>
      <c r="E22" s="57" t="n"/>
      <c r="F22" s="57" t="n"/>
      <c r="G22" s="57" t="n"/>
      <c r="H22" s="57" t="n"/>
      <c r="I22" s="57" t="n"/>
      <c r="J22" s="57" t="n"/>
      <c r="K22" s="57" t="n"/>
    </row>
    <row r="23" ht="16.5" customHeight="1" s="10">
      <c r="A23" s="3" t="inlineStr">
        <is>
          <t>支援 &amp; 戰鬥 &amp; 通用彈匣選擇箱</t>
        </is>
      </c>
      <c r="B23" s="44">
        <f>MIN(D23:K23)</f>
        <v/>
      </c>
      <c r="C23" s="45">
        <f>MAX(D23:K23)</f>
        <v/>
      </c>
      <c r="D23" s="44" t="n"/>
      <c r="E23" s="57" t="n"/>
      <c r="F23" s="57" t="n"/>
      <c r="G23" s="57" t="n"/>
      <c r="H23" s="57" t="n"/>
      <c r="I23" s="57" t="n"/>
      <c r="J23" s="57" t="n"/>
      <c r="K23" s="57" t="n"/>
    </row>
    <row r="24" ht="16.5" customHeight="1" s="10">
      <c r="A24" s="3" t="inlineStr">
        <is>
          <t>[阿利爾] 核心備份模塊10個</t>
        </is>
      </c>
      <c r="B24" s="44">
        <f>MIN(D24:K24)</f>
        <v/>
      </c>
      <c r="C24" s="45">
        <f>MAX(D24:K24)</f>
        <v/>
      </c>
      <c r="D24" s="44" t="n"/>
      <c r="E24" s="57" t="n"/>
      <c r="F24" s="57" t="n"/>
      <c r="G24" s="57" t="n"/>
      <c r="H24" s="57" t="n"/>
      <c r="I24" s="57" t="n"/>
      <c r="J24" s="57" t="n"/>
      <c r="K24" s="57" t="n"/>
    </row>
    <row r="25" ht="16.5" customHeight="1" s="10">
      <c r="A25" s="3" t="inlineStr">
        <is>
          <t>核心備份模塊5個</t>
        </is>
      </c>
      <c r="B25" s="44">
        <f>MIN(D25:K25)</f>
        <v/>
      </c>
      <c r="C25" s="45">
        <f>MAX(D25:K25)</f>
        <v/>
      </c>
      <c r="D25" s="44" t="n">
        <v>1575000000</v>
      </c>
      <c r="E25" s="57" t="n"/>
      <c r="F25" s="57" t="n"/>
      <c r="G25" s="57" t="n"/>
      <c r="H25" s="57" t="n"/>
      <c r="I25" s="57" t="n"/>
      <c r="J25" s="57" t="n"/>
      <c r="K25" s="57" t="n"/>
    </row>
    <row r="26" ht="16.5" customHeight="1" s="10">
      <c r="A26" s="2" t="inlineStr">
        <is>
          <t xml:space="preserve">層級四 </t>
        </is>
      </c>
      <c r="B26" s="58" t="n"/>
      <c r="C26" s="59" t="n"/>
      <c r="D26" s="49" t="n"/>
      <c r="E26" s="56" t="n"/>
      <c r="F26" s="56" t="n"/>
      <c r="G26" s="56" t="n"/>
      <c r="H26" s="56" t="n"/>
      <c r="I26" s="56" t="n"/>
      <c r="J26" s="56" t="n"/>
      <c r="K26" s="56" t="n"/>
    </row>
    <row r="27" ht="16.5" customHeight="1" s="10">
      <c r="A27" s="3" t="inlineStr">
        <is>
          <t>穩定的核心1個</t>
        </is>
      </c>
      <c r="B27" s="44">
        <f>MIN(D27:K27)</f>
        <v/>
      </c>
      <c r="C27" s="45">
        <f>MAX(D27:K27)</f>
        <v/>
      </c>
      <c r="D27" s="44" t="n"/>
      <c r="E27" s="57" t="n"/>
      <c r="F27" s="57" t="n"/>
      <c r="G27" s="57" t="n"/>
      <c r="H27" s="57" t="n"/>
      <c r="I27" s="57" t="n"/>
      <c r="J27" s="57" t="n"/>
      <c r="K27" s="57" t="n"/>
    </row>
    <row r="28" ht="16.5" customHeight="1" s="10">
      <c r="A28" s="3" t="inlineStr">
        <is>
          <t>內布隆原型選擇箱</t>
        </is>
      </c>
      <c r="B28" s="44">
        <f>MIN(D28:K28)</f>
        <v/>
      </c>
      <c r="C28" s="45">
        <f>MAX(D28:K28)</f>
        <v/>
      </c>
      <c r="D28" s="44" t="n"/>
      <c r="E28" s="57" t="n"/>
      <c r="F28" s="57" t="n"/>
      <c r="G28" s="57" t="n"/>
      <c r="H28" s="57" t="n"/>
      <c r="I28" s="57" t="n"/>
      <c r="J28" s="57" t="n"/>
      <c r="K28" s="57" t="n"/>
    </row>
    <row r="29" ht="16.5" customHeight="1" s="10">
      <c r="A29" s="3" t="inlineStr">
        <is>
          <t>超彈匣選擇箱</t>
        </is>
      </c>
      <c r="B29" s="44">
        <f>MIN(D29:K29)</f>
        <v/>
      </c>
      <c r="C29" s="45">
        <f>MAX(D29:K29)</f>
        <v/>
      </c>
      <c r="D29" s="44" t="n"/>
      <c r="E29" s="57" t="n"/>
      <c r="F29" s="57" t="n"/>
      <c r="G29" s="57" t="n"/>
      <c r="H29" s="57" t="n"/>
      <c r="I29" s="57" t="n"/>
      <c r="J29" s="57" t="n"/>
      <c r="K29" s="57" t="n"/>
    </row>
    <row r="30" ht="16.5" customHeight="1" s="10">
      <c r="A30" s="3" t="inlineStr">
        <is>
          <t>[阿利爾] 1%電路T板選擇箱</t>
        </is>
      </c>
      <c r="B30" s="44">
        <f>MIN(D30:K30)</f>
        <v/>
      </c>
      <c r="C30" s="45">
        <f>MAX(D30:K30)</f>
        <v/>
      </c>
      <c r="D30" s="44" t="n"/>
      <c r="E30" s="57" t="n"/>
      <c r="F30" s="57" t="n"/>
      <c r="G30" s="57" t="n"/>
      <c r="H30" s="57" t="n"/>
      <c r="I30" s="57" t="n"/>
      <c r="J30" s="57" t="n"/>
      <c r="K30" s="57" t="n"/>
    </row>
    <row r="31" ht="16.5" customHeight="1" s="10">
      <c r="A31" s="3" t="inlineStr">
        <is>
          <t>[阿利爾] 1%電路L板選擇箱</t>
        </is>
      </c>
      <c r="B31" s="44">
        <f>MIN(D31:K31)</f>
        <v/>
      </c>
      <c r="C31" s="45">
        <f>MAX(D31:K31)</f>
        <v/>
      </c>
      <c r="D31" s="44" t="n"/>
      <c r="E31" s="57" t="n"/>
      <c r="F31" s="57" t="n"/>
      <c r="G31" s="57" t="n"/>
      <c r="H31" s="57" t="n"/>
      <c r="I31" s="57" t="n"/>
      <c r="J31" s="57" t="n"/>
      <c r="K31" s="57" t="n"/>
    </row>
    <row r="32" ht="16.5" customHeight="1" s="10">
      <c r="A32" s="3" t="inlineStr">
        <is>
          <t>[阿利爾] 防具選項轉換石15個</t>
        </is>
      </c>
      <c r="B32" s="44">
        <f>MIN(D32:K32)</f>
        <v/>
      </c>
      <c r="C32" s="45">
        <f>MAX(D32:K32)</f>
        <v/>
      </c>
      <c r="D32" s="44" t="n"/>
      <c r="E32" s="57" t="n"/>
      <c r="F32" s="57" t="n"/>
      <c r="G32" s="57" t="n"/>
      <c r="H32" s="57" t="n"/>
      <c r="I32" s="57" t="n"/>
      <c r="J32" s="57" t="n"/>
      <c r="K32" s="57" t="n"/>
    </row>
    <row r="33" ht="16.5" customHeight="1" s="10">
      <c r="A33" s="3" t="inlineStr">
        <is>
          <t>[阿利爾] 核心備份模塊15個</t>
        </is>
      </c>
      <c r="B33" s="44">
        <f>MIN(D33:K33)</f>
        <v/>
      </c>
      <c r="C33" s="45">
        <f>MAX(D33:K33)</f>
        <v/>
      </c>
      <c r="D33" s="44" t="n"/>
      <c r="E33" s="57" t="n"/>
      <c r="F33" s="57" t="n"/>
      <c r="G33" s="57" t="n"/>
      <c r="H33" s="57" t="n"/>
      <c r="I33" s="57" t="n"/>
      <c r="J33" s="57" t="n"/>
      <c r="K33" s="57" t="n"/>
    </row>
    <row r="34" ht="16.5" customHeight="1" s="10">
      <c r="A34" s="3" t="inlineStr">
        <is>
          <t>核心備份模塊7個</t>
        </is>
      </c>
      <c r="B34" s="44">
        <f>MIN(D34:K34)</f>
        <v/>
      </c>
      <c r="C34" s="45">
        <f>MAX(D34:K34)</f>
        <v/>
      </c>
      <c r="D34" s="44" t="n"/>
      <c r="E34" s="57" t="n"/>
      <c r="F34" s="57" t="n"/>
      <c r="G34" s="57" t="n"/>
      <c r="H34" s="57" t="n"/>
      <c r="I34" s="57" t="n"/>
      <c r="J34" s="57" t="n"/>
      <c r="K34" s="57" t="n"/>
    </row>
    <row r="35" ht="16.5" customHeight="1" s="10">
      <c r="A35" s="2" t="inlineStr">
        <is>
          <t xml:space="preserve">層級五 </t>
        </is>
      </c>
      <c r="B35" s="58" t="n"/>
      <c r="C35" s="59" t="n"/>
      <c r="D35" s="49" t="n"/>
      <c r="E35" s="56" t="n"/>
      <c r="F35" s="56" t="n"/>
      <c r="G35" s="56" t="n"/>
      <c r="H35" s="56" t="n"/>
      <c r="I35" s="56" t="n"/>
      <c r="J35" s="56" t="n"/>
      <c r="K35" s="56" t="n"/>
    </row>
    <row r="36" ht="16.5" customHeight="1" s="10">
      <c r="A36" s="3" t="inlineStr">
        <is>
          <t>[阿利爾] 死級詞條升級券1個</t>
        </is>
      </c>
      <c r="B36" s="44">
        <f>MIN(D36:K36)</f>
        <v/>
      </c>
      <c r="C36" s="45">
        <f>MAX(D36:K36)</f>
        <v/>
      </c>
      <c r="D36" s="44" t="n"/>
      <c r="E36" s="57" t="n"/>
      <c r="F36" s="57" t="n"/>
      <c r="G36" s="57" t="n"/>
      <c r="H36" s="57" t="n"/>
      <c r="I36" s="57" t="n"/>
      <c r="J36" s="57" t="n"/>
      <c r="K36" s="57" t="n"/>
    </row>
    <row r="37" ht="16.5" customHeight="1" s="10">
      <c r="A37" s="3" t="inlineStr">
        <is>
          <t>[阿利爾] 防具詞條升級券1個</t>
        </is>
      </c>
      <c r="B37" s="44">
        <f>MIN(D37:K37)</f>
        <v/>
      </c>
      <c r="C37" s="45">
        <f>MAX(D37:K37)</f>
        <v/>
      </c>
      <c r="D37" s="44" t="n"/>
      <c r="E37" s="57" t="n"/>
      <c r="F37" s="57" t="n"/>
      <c r="G37" s="57" t="n"/>
      <c r="H37" s="57" t="n"/>
      <c r="I37" s="57" t="n"/>
      <c r="J37" s="57" t="n"/>
      <c r="K37" s="57" t="n"/>
    </row>
    <row r="38" ht="16.5" customHeight="1" s="10">
      <c r="A38" s="3" t="inlineStr">
        <is>
          <t>[阿利爾] 複製電路選擇箱</t>
        </is>
      </c>
      <c r="B38" s="44">
        <f>MIN(D38:K38)</f>
        <v/>
      </c>
      <c r="C38" s="45">
        <f>MAX(D38:K38)</f>
        <v/>
      </c>
      <c r="D38" s="44" t="n"/>
      <c r="E38" s="57" t="n"/>
      <c r="F38" s="57" t="n"/>
      <c r="G38" s="57" t="n"/>
      <c r="H38" s="57" t="n"/>
      <c r="I38" s="57" t="n"/>
      <c r="J38" s="57" t="n"/>
      <c r="K38" s="57" t="n"/>
    </row>
    <row r="39" ht="16.5" customHeight="1" s="10">
      <c r="A39" s="3" t="inlineStr">
        <is>
          <t>[阿利爾] 防具選項轉換石20個</t>
        </is>
      </c>
      <c r="B39" s="44">
        <f>MIN(D39:K39)</f>
        <v/>
      </c>
      <c r="C39" s="45">
        <f>MAX(D39:K39)</f>
        <v/>
      </c>
      <c r="D39" s="44" t="n"/>
      <c r="E39" s="57" t="n"/>
      <c r="F39" s="57" t="n"/>
      <c r="G39" s="57" t="n"/>
      <c r="H39" s="57" t="n"/>
      <c r="I39" s="57" t="n"/>
      <c r="J39" s="57" t="n"/>
      <c r="K39" s="57" t="n"/>
    </row>
    <row r="40" ht="16.5" customHeight="1" s="10">
      <c r="A40" s="3" t="inlineStr">
        <is>
          <t>[阿利爾] 核心備份模塊20個</t>
        </is>
      </c>
      <c r="B40" s="44">
        <f>MIN(D40:K40)</f>
        <v/>
      </c>
      <c r="C40" s="45">
        <f>MAX(D40:K40)</f>
        <v/>
      </c>
      <c r="D40" s="44" t="n"/>
      <c r="E40" s="57" t="n"/>
      <c r="F40" s="57" t="n"/>
      <c r="G40" s="57" t="n"/>
      <c r="H40" s="57" t="n"/>
      <c r="I40" s="57" t="n"/>
      <c r="J40" s="57" t="n"/>
      <c r="K40" s="57" t="n"/>
    </row>
    <row r="41" ht="16.5" customHeight="1" s="10">
      <c r="A41" s="3" t="inlineStr">
        <is>
          <t>核心備份模塊10個</t>
        </is>
      </c>
      <c r="B41" s="44">
        <f>MIN(D41:K41)</f>
        <v/>
      </c>
      <c r="C41" s="45">
        <f>MAX(D41:K41)</f>
        <v/>
      </c>
      <c r="D41" s="44">
        <f>G41</f>
        <v/>
      </c>
      <c r="E41" s="57">
        <f>E16*10</f>
        <v/>
      </c>
      <c r="F41" s="57" t="n"/>
      <c r="G41" s="57">
        <f>G16*10</f>
        <v/>
      </c>
      <c r="H41" s="57" t="n"/>
      <c r="I41" s="57" t="n"/>
      <c r="J41" s="57" t="n"/>
      <c r="K41" s="57" t="n"/>
    </row>
    <row r="42" ht="16.5" customHeight="1" s="10">
      <c r="A42" s="8" t="n"/>
      <c r="B42" s="49" t="n"/>
      <c r="C42" s="50" t="n"/>
      <c r="D42" s="49" t="n"/>
      <c r="E42" s="56" t="n"/>
      <c r="F42" s="56" t="n"/>
      <c r="G42" s="56" t="n"/>
      <c r="H42" s="56" t="n"/>
      <c r="I42" s="56" t="n"/>
      <c r="J42" s="56" t="n"/>
      <c r="K42" s="56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8"/>
  <sheetViews>
    <sheetView tabSelected="1" zoomScale="85" zoomScaleNormal="85" workbookViewId="0">
      <selection activeCell="H17" sqref="H17"/>
    </sheetView>
  </sheetViews>
  <sheetFormatPr baseColWidth="8" defaultRowHeight="15.75"/>
  <cols>
    <col width="40.5703125" customWidth="1" style="10" min="1" max="1"/>
    <col width="19.85546875" customWidth="1" style="10" min="2" max="2"/>
    <col width="18.5703125" customWidth="1" style="5" min="3" max="3"/>
    <col width="18.5703125" customWidth="1" style="10" min="4" max="4"/>
    <col width="16.7109375" customWidth="1" style="10" min="5" max="5"/>
    <col width="18.28515625" customWidth="1" style="10" min="6" max="6"/>
    <col width="18.28515625" customWidth="1" style="41" min="7" max="8"/>
    <col width="18.28515625" customWidth="1" style="10" min="9" max="10"/>
    <col width="18.140625" customWidth="1" style="10" min="11" max="11"/>
    <col width="16.7109375" bestFit="1" customWidth="1" style="10" min="12" max="13"/>
    <col width="15.5703125" bestFit="1" customWidth="1" style="10" min="14" max="15"/>
    <col width="14.42578125" bestFit="1" customWidth="1" style="10" min="16" max="16"/>
    <col width="15.5703125" bestFit="1" customWidth="1" style="10" min="17" max="18"/>
    <col width="12.7109375" bestFit="1" customWidth="1" style="10" min="19" max="19"/>
  </cols>
  <sheetData>
    <row r="1">
      <c r="B1" t="inlineStr">
        <is>
          <t>最低價參考</t>
        </is>
      </c>
      <c r="C1" s="5" t="inlineStr">
        <is>
          <t>最高價參考</t>
        </is>
      </c>
      <c r="D1" s="36" t="inlineStr">
        <is>
          <t>成交ED名目紀錄</t>
        </is>
      </c>
      <c r="E1" s="53" t="inlineStr">
        <is>
          <t>ED比值</t>
        </is>
      </c>
      <c r="F1" s="41" t="n"/>
      <c r="H1" t="n"/>
      <c r="I1" s="41" t="n"/>
      <c r="J1" s="42" t="n"/>
      <c r="K1" s="41" t="n"/>
    </row>
    <row r="2" ht="16.5" customHeight="1" s="10">
      <c r="A2" s="1" t="inlineStr">
        <is>
          <t>【黑暗精靈黑市 - 可能出現的拍賣品】</t>
        </is>
      </c>
      <c r="B2" s="11" t="inlineStr">
        <is>
          <t>ED</t>
        </is>
      </c>
      <c r="C2" s="12" t="inlineStr">
        <is>
          <t>ED</t>
        </is>
      </c>
      <c r="D2" s="54" t="n">
        <v>46295</v>
      </c>
      <c r="E2" s="55" t="n">
        <v>10000000</v>
      </c>
    </row>
    <row r="3" ht="16.5" customHeight="1" s="10">
      <c r="A3" s="2" t="inlineStr">
        <is>
          <t xml:space="preserve">層級一 </t>
        </is>
      </c>
      <c r="B3" s="49" t="n"/>
      <c r="C3" s="50" t="n"/>
      <c r="D3" s="49" t="n"/>
      <c r="E3" s="56" t="n"/>
      <c r="F3" s="56" t="n"/>
      <c r="G3" s="56" t="n"/>
      <c r="H3" s="56" t="n"/>
      <c r="I3" s="56" t="n"/>
      <c r="J3" s="56" t="n"/>
      <c r="K3" s="56" t="n"/>
    </row>
    <row r="4" ht="16.5" customHeight="1" s="10">
      <c r="A4" s="3" t="inlineStr">
        <is>
          <t>一般彈匣魔方</t>
        </is>
      </c>
      <c r="B4" s="44">
        <f>MIN(D4:K4)</f>
        <v/>
      </c>
      <c r="C4" s="45">
        <f>MAX(D4:K4)</f>
        <v/>
      </c>
      <c r="D4" s="46" t="n">
        <v>1736437500</v>
      </c>
      <c r="E4" s="44" t="n">
        <v>926100000</v>
      </c>
      <c r="F4" s="57" t="n">
        <v>840000000</v>
      </c>
      <c r="G4" s="57" t="n">
        <v>525000000</v>
      </c>
      <c r="H4" s="57" t="n">
        <v>292526061</v>
      </c>
      <c r="I4" s="57" t="n">
        <v>100000000</v>
      </c>
      <c r="J4" s="57" t="n">
        <v>630000000</v>
      </c>
      <c r="K4" s="57" t="n">
        <v>765768937</v>
      </c>
      <c r="L4" s="57" t="n">
        <v>347287500</v>
      </c>
    </row>
    <row r="5" ht="16.5" customHeight="1" s="10">
      <c r="A5" s="3" t="inlineStr">
        <is>
          <t>黑色碎片2個</t>
        </is>
      </c>
      <c r="B5" s="44">
        <f>MIN(D5:K5)</f>
        <v/>
      </c>
      <c r="C5" s="45">
        <f>MAX(D5:K5)</f>
        <v/>
      </c>
      <c r="D5" s="44" t="n">
        <v>121550625</v>
      </c>
      <c r="E5" s="57" t="n">
        <v>513781804</v>
      </c>
      <c r="F5" s="57" t="n"/>
      <c r="G5" s="57" t="n"/>
      <c r="H5" s="57" t="n"/>
      <c r="I5" s="57" t="n"/>
      <c r="J5" s="57" t="n"/>
      <c r="K5" s="57" t="n"/>
    </row>
    <row r="6" ht="16.5" customHeight="1" s="10">
      <c r="A6" s="3" t="inlineStr">
        <is>
          <t>[阿利爾] 防具選項轉換石3個</t>
        </is>
      </c>
      <c r="B6" s="44">
        <f>MIN(D6:K6)</f>
        <v/>
      </c>
      <c r="C6" s="45">
        <f>MAX(D6:K6)</f>
        <v/>
      </c>
      <c r="D6" s="44" t="n">
        <v>752456250</v>
      </c>
      <c r="E6" s="57" t="n">
        <v>752456250</v>
      </c>
      <c r="F6" s="57" t="n">
        <v>814447312</v>
      </c>
      <c r="G6" s="57" t="n">
        <v>703550211</v>
      </c>
      <c r="H6" s="57" t="n">
        <v>315000000</v>
      </c>
      <c r="I6" s="57" t="n"/>
      <c r="J6" s="57" t="n"/>
      <c r="K6" s="57" t="n"/>
    </row>
    <row r="7" ht="16.5" customHeight="1" s="10">
      <c r="A7" s="3" t="inlineStr">
        <is>
          <t>[阿利爾] 防具選項備份卷1個</t>
        </is>
      </c>
      <c r="B7" s="44">
        <f>MIN(D7:K7)</f>
        <v/>
      </c>
      <c r="C7" s="45">
        <f>MAX(D7:K7)</f>
        <v/>
      </c>
      <c r="D7" s="44" t="n">
        <v>52500000</v>
      </c>
      <c r="E7" s="57" t="n">
        <v>231525000</v>
      </c>
      <c r="F7" s="57" t="n">
        <v>115762500</v>
      </c>
      <c r="G7" s="57" t="n"/>
      <c r="H7" s="57" t="n"/>
      <c r="I7" s="57" t="n"/>
      <c r="J7" s="57" t="n"/>
      <c r="K7" s="57" t="n"/>
    </row>
    <row r="8" ht="16.5" customHeight="1" s="10">
      <c r="A8" s="3" t="inlineStr">
        <is>
          <t>[阿利爾] 核心備份模塊1個</t>
        </is>
      </c>
      <c r="B8" s="44">
        <f>MIN(D8:O8)</f>
        <v/>
      </c>
      <c r="C8" s="45">
        <f>MAX(D8:K8)</f>
        <v/>
      </c>
      <c r="D8" s="44" t="n">
        <v>15513279</v>
      </c>
      <c r="E8" s="57" t="n">
        <v>231525000</v>
      </c>
      <c r="F8" s="57" t="n">
        <v>17103389</v>
      </c>
      <c r="G8" s="57" t="n">
        <v>32250982</v>
      </c>
      <c r="H8" s="57" t="n">
        <v>60000000</v>
      </c>
      <c r="I8" s="57" t="n">
        <v>20789274</v>
      </c>
      <c r="J8" s="57" t="n">
        <v>50000000</v>
      </c>
      <c r="K8" s="57" t="n">
        <v>26594196</v>
      </c>
      <c r="L8" s="57" t="n">
        <v>26250000</v>
      </c>
      <c r="M8" s="57" t="n">
        <v>136500000</v>
      </c>
      <c r="N8" s="57" t="n">
        <v>11025000</v>
      </c>
      <c r="O8" s="57" t="n">
        <v>13400955</v>
      </c>
      <c r="P8" s="57" t="n">
        <v>11576250</v>
      </c>
      <c r="Q8" s="57" t="n">
        <v>100000000</v>
      </c>
      <c r="R8" s="57" t="n">
        <v>12249999</v>
      </c>
      <c r="S8" s="57" t="n"/>
    </row>
    <row r="9" ht="16.5" customHeight="1" s="10">
      <c r="A9" s="3" t="inlineStr">
        <is>
          <t>每周鍛造材料1000個</t>
        </is>
      </c>
      <c r="B9" s="44">
        <f>MIN(D9:K9)</f>
        <v/>
      </c>
      <c r="C9" s="45">
        <f>MAX(D9:K9)</f>
        <v/>
      </c>
      <c r="D9" s="44" t="n">
        <v>1000000000</v>
      </c>
      <c r="E9" s="57" t="n">
        <v>630000000</v>
      </c>
      <c r="F9" s="57" t="n"/>
      <c r="G9" s="57" t="n"/>
      <c r="H9" s="57" t="n"/>
      <c r="I9" s="57" t="n"/>
      <c r="J9" s="57" t="n"/>
      <c r="K9" s="57" t="n"/>
    </row>
    <row r="10" ht="16.5" customHeight="1" s="10">
      <c r="A10" s="2" t="inlineStr">
        <is>
          <t xml:space="preserve">層級二 </t>
        </is>
      </c>
      <c r="B10" s="58" t="n"/>
      <c r="C10" s="59" t="n"/>
      <c r="D10" s="49" t="n"/>
      <c r="E10" s="56" t="n"/>
      <c r="F10" s="56" t="n"/>
      <c r="G10" s="56" t="n"/>
      <c r="H10" s="56" t="n"/>
      <c r="I10" s="56" t="n"/>
      <c r="J10" s="56" t="n"/>
      <c r="K10" s="56" t="n"/>
    </row>
    <row r="11" ht="16.5" customHeight="1" s="10">
      <c r="A11" s="7" t="inlineStr">
        <is>
          <t>彈匣箱</t>
        </is>
      </c>
      <c r="B11" s="44">
        <f>MIN(D11:K11)</f>
        <v/>
      </c>
      <c r="C11" s="45">
        <f>MAX(D11:K11)</f>
        <v/>
      </c>
      <c r="D11" s="57" t="n">
        <v>2756250000</v>
      </c>
      <c r="E11" s="60" t="n">
        <v>711134520</v>
      </c>
      <c r="F11" s="57" t="n">
        <v>551250000</v>
      </c>
      <c r="G11" s="57" t="n"/>
      <c r="H11" s="57" t="n"/>
      <c r="I11" s="57" t="n"/>
      <c r="J11" s="57" t="n"/>
      <c r="K11" s="57" t="n"/>
    </row>
    <row r="12" ht="16.5" customHeight="1" s="10">
      <c r="A12" s="3" t="inlineStr">
        <is>
          <t>黑色碎片4個</t>
        </is>
      </c>
      <c r="B12" s="44">
        <f>MIN(D12:K12)</f>
        <v/>
      </c>
      <c r="C12" s="45">
        <f>MAX(D12:K12)</f>
        <v/>
      </c>
      <c r="D12" s="44" t="n">
        <v>2625000000</v>
      </c>
      <c r="E12" s="57" t="n">
        <v>1914422343</v>
      </c>
      <c r="F12" s="57" t="n">
        <v>718342527</v>
      </c>
      <c r="G12" s="57" t="n">
        <v>620531284</v>
      </c>
      <c r="H12" s="57" t="n">
        <v>1000000000</v>
      </c>
      <c r="I12" s="57" t="n"/>
      <c r="J12" s="57" t="n"/>
      <c r="K12" s="57" t="n"/>
    </row>
    <row r="13" ht="16.5" customHeight="1" s="10">
      <c r="A13" s="3" t="inlineStr">
        <is>
          <t>[阿利爾] 防具選項轉換石5個</t>
        </is>
      </c>
      <c r="B13" s="44">
        <f>MIN(D13:K13)</f>
        <v/>
      </c>
      <c r="C13" s="45">
        <f>MAX(D13:K13)</f>
        <v/>
      </c>
      <c r="D13" s="44" t="n">
        <v>1181964353</v>
      </c>
      <c r="E13" s="57" t="n">
        <v>1340095640</v>
      </c>
      <c r="F13" s="57" t="n">
        <v>1276281562</v>
      </c>
      <c r="G13" s="57" t="n">
        <v>1200000000</v>
      </c>
      <c r="H13" s="57" t="n">
        <v>1466005160</v>
      </c>
      <c r="I13" s="57" t="n">
        <v>2205000000</v>
      </c>
      <c r="J13" s="57" t="n">
        <v>1000637680</v>
      </c>
      <c r="K13" s="57" t="n">
        <v>630000000</v>
      </c>
    </row>
    <row r="14" ht="16.5" customHeight="1" s="10">
      <c r="A14" s="3" t="inlineStr">
        <is>
          <t>[阿利爾] 防具選項備份卷3個</t>
        </is>
      </c>
      <c r="B14" s="44">
        <f>MIN(D14:K14)</f>
        <v/>
      </c>
      <c r="C14" s="45">
        <f>MAX(D14:K14)</f>
        <v/>
      </c>
      <c r="D14" s="44" t="n">
        <v>240661916</v>
      </c>
      <c r="E14" s="57" t="n">
        <v>700000000</v>
      </c>
      <c r="F14" s="57" t="n">
        <v>565694738</v>
      </c>
      <c r="G14" s="57" t="n">
        <v>525000000</v>
      </c>
      <c r="H14" s="57" t="n">
        <v>989965796</v>
      </c>
      <c r="I14" s="57" t="n">
        <v>1155000000</v>
      </c>
      <c r="J14" s="57" t="n">
        <v>140710041</v>
      </c>
      <c r="K14" s="57" t="n"/>
    </row>
    <row r="15" ht="16.5" customHeight="1" s="10">
      <c r="A15" s="3" t="inlineStr">
        <is>
          <t>[阿利爾] 核心備份模塊3個</t>
        </is>
      </c>
      <c r="B15" s="44">
        <f>MIN(D15:K15)</f>
        <v/>
      </c>
      <c r="C15" s="45">
        <f>MAX(D15:K15)</f>
        <v/>
      </c>
      <c r="D15" s="44" t="n">
        <v>36465187</v>
      </c>
      <c r="E15" s="57" t="n">
        <v>136500000</v>
      </c>
      <c r="F15" s="57" t="n"/>
      <c r="G15" s="57" t="n"/>
      <c r="H15" s="57" t="n"/>
      <c r="I15" s="57" t="n"/>
      <c r="J15" s="57" t="n"/>
      <c r="K15" s="57" t="n"/>
    </row>
    <row r="16" ht="16.5" customHeight="1" s="10">
      <c r="A16" s="3" t="inlineStr">
        <is>
          <t>核心備份模塊1個</t>
        </is>
      </c>
      <c r="B16" s="44">
        <f>MIN(D16:K16)</f>
        <v/>
      </c>
      <c r="C16" s="45">
        <f>MAX(D16:K16)</f>
        <v/>
      </c>
      <c r="D16" s="44" t="n"/>
      <c r="E16" s="57" t="n"/>
      <c r="F16" s="57" t="n"/>
      <c r="G16" s="57" t="n"/>
      <c r="H16" s="57" t="n"/>
      <c r="I16" s="57" t="n"/>
      <c r="J16" s="57" t="n"/>
      <c r="K16" s="57" t="n"/>
    </row>
    <row r="17" ht="16.5" customHeight="1" s="10">
      <c r="A17" s="3" t="inlineStr">
        <is>
          <t>每周鍛造材料2000個</t>
        </is>
      </c>
      <c r="B17" s="44">
        <f>MIN(D17:K17)</f>
        <v/>
      </c>
      <c r="C17" s="45">
        <f>MAX(D17:K17)</f>
        <v/>
      </c>
      <c r="D17" s="44" t="n">
        <v>800000000</v>
      </c>
      <c r="E17" s="57" t="n">
        <v>638140781</v>
      </c>
      <c r="F17" s="57" t="n">
        <v>945000000</v>
      </c>
      <c r="G17" s="57" t="n">
        <v>1500000000</v>
      </c>
      <c r="H17" s="57" t="n">
        <v>3257789252</v>
      </c>
      <c r="I17" s="57" t="n">
        <v>400000000</v>
      </c>
      <c r="J17" s="57" t="n">
        <v>926100000</v>
      </c>
      <c r="K17" s="57" t="n"/>
    </row>
    <row r="18" ht="16.5" customHeight="1" s="10">
      <c r="A18" s="2" t="inlineStr">
        <is>
          <t xml:space="preserve">層級三 </t>
        </is>
      </c>
      <c r="B18" s="58" t="n"/>
      <c r="C18" s="59" t="n"/>
      <c r="D18" s="49" t="n"/>
      <c r="E18" s="56" t="n"/>
      <c r="F18" s="56" t="n"/>
      <c r="G18" s="56" t="n"/>
      <c r="H18" s="56" t="n"/>
      <c r="I18" s="56" t="n"/>
      <c r="J18" s="56" t="n"/>
      <c r="K18" s="56" t="n"/>
    </row>
    <row r="19" ht="16.5" customHeight="1" s="10">
      <c r="A19" s="3" t="inlineStr">
        <is>
          <t>核心1個</t>
        </is>
      </c>
      <c r="B19" s="44">
        <f>MIN(D19:K19)</f>
        <v/>
      </c>
      <c r="C19" s="45">
        <f>MAX(D19:K19)</f>
        <v/>
      </c>
      <c r="D19" s="44" t="n"/>
      <c r="E19" s="57" t="n"/>
      <c r="F19" s="57" t="n"/>
      <c r="G19" s="57" t="n"/>
      <c r="H19" s="57" t="n"/>
      <c r="I19" s="57" t="n"/>
      <c r="J19" s="57" t="n"/>
      <c r="K19" s="57" t="n"/>
    </row>
    <row r="20" ht="16.5" customHeight="1" s="10">
      <c r="A20" s="3" t="inlineStr">
        <is>
          <t>[阿利爾] 內布隆原型選擇箱</t>
        </is>
      </c>
      <c r="B20" s="44">
        <f>MIN(D20:K20)</f>
        <v/>
      </c>
      <c r="C20" s="45">
        <f>MAX(D20:K20)</f>
        <v/>
      </c>
      <c r="D20" s="44" t="n"/>
      <c r="E20" s="57" t="n"/>
      <c r="F20" s="57" t="n"/>
      <c r="G20" s="57" t="n"/>
      <c r="H20" s="57" t="n"/>
      <c r="I20" s="57" t="n"/>
      <c r="J20" s="57" t="n"/>
      <c r="K20" s="57" t="n"/>
    </row>
    <row r="21" ht="16.5" customHeight="1" s="10">
      <c r="A21" s="3" t="inlineStr">
        <is>
          <t>超彈匣魔方</t>
        </is>
      </c>
      <c r="B21" s="44">
        <f>MIN(D21:K21)</f>
        <v/>
      </c>
      <c r="C21" s="45">
        <f>MAX(D21:K21)</f>
        <v/>
      </c>
      <c r="D21" s="44" t="n">
        <v>4190331415</v>
      </c>
      <c r="E21" s="57" t="n"/>
      <c r="F21" s="57" t="n"/>
      <c r="G21" s="57" t="n"/>
      <c r="H21" s="57" t="n"/>
      <c r="I21" s="57" t="n"/>
      <c r="J21" s="57" t="n"/>
      <c r="K21" s="57" t="n"/>
    </row>
    <row r="22" ht="16.5" customHeight="1" s="10">
      <c r="A22" s="3" t="inlineStr">
        <is>
          <t>[阿利爾] 防具選項轉換石10個</t>
        </is>
      </c>
      <c r="B22" s="44">
        <f>MIN(D22:K22)</f>
        <v/>
      </c>
      <c r="C22" s="45">
        <f>MAX(D22:K22)</f>
        <v/>
      </c>
      <c r="D22" s="44" t="n">
        <v>2814200845</v>
      </c>
      <c r="E22" s="57" t="n"/>
      <c r="F22" s="57" t="n"/>
      <c r="G22" s="57" t="n"/>
      <c r="H22" s="57" t="n"/>
      <c r="I22" s="57" t="n"/>
      <c r="J22" s="57" t="n"/>
      <c r="K22" s="57" t="n"/>
    </row>
    <row r="23" ht="16.5" customHeight="1" s="10">
      <c r="A23" s="3" t="inlineStr">
        <is>
          <t>支援 &amp; 戰鬥 &amp; 通用彈匣選擇箱</t>
        </is>
      </c>
      <c r="B23" s="44">
        <f>MIN(D23:K23)</f>
        <v/>
      </c>
      <c r="C23" s="45">
        <f>MAX(D23:K23)</f>
        <v/>
      </c>
      <c r="D23" s="44" t="n"/>
      <c r="E23" s="57" t="n"/>
      <c r="F23" s="57" t="n"/>
      <c r="G23" s="57" t="n"/>
      <c r="H23" s="57" t="n"/>
      <c r="I23" s="57" t="n"/>
      <c r="J23" s="57" t="n"/>
      <c r="K23" s="57" t="n"/>
    </row>
    <row r="24" ht="16.5" customHeight="1" s="10">
      <c r="A24" s="3" t="inlineStr">
        <is>
          <t>[阿利爾] 核心備份模塊10個</t>
        </is>
      </c>
      <c r="B24" s="44">
        <f>MIN(D24:K24)</f>
        <v/>
      </c>
      <c r="C24" s="45">
        <f>MAX(D24:K24)</f>
        <v/>
      </c>
      <c r="D24" s="44" t="n"/>
      <c r="E24" s="57" t="n"/>
      <c r="F24" s="57" t="n"/>
      <c r="G24" s="57" t="n"/>
      <c r="H24" s="57" t="n"/>
      <c r="I24" s="57" t="n"/>
      <c r="J24" s="57" t="n"/>
      <c r="K24" s="57" t="n"/>
    </row>
    <row r="25" ht="16.5" customHeight="1" s="10">
      <c r="A25" s="3" t="inlineStr">
        <is>
          <t>核心備份模塊5個</t>
        </is>
      </c>
      <c r="B25" s="44">
        <f>MIN(D25:K25)</f>
        <v/>
      </c>
      <c r="C25" s="45">
        <f>MAX(D25:K25)</f>
        <v/>
      </c>
      <c r="D25" s="44" t="n"/>
      <c r="E25" s="57" t="n"/>
      <c r="F25" s="57" t="n"/>
      <c r="G25" s="57" t="n"/>
      <c r="H25" s="57" t="n"/>
      <c r="I25" s="57" t="n"/>
      <c r="J25" s="57" t="n"/>
      <c r="K25" s="57" t="n"/>
    </row>
    <row r="26" ht="16.5" customHeight="1" s="10">
      <c r="A26" s="2" t="inlineStr">
        <is>
          <t xml:space="preserve">層級四 </t>
        </is>
      </c>
      <c r="B26" s="58" t="n"/>
      <c r="C26" s="59" t="n"/>
      <c r="D26" s="49" t="n"/>
      <c r="E26" s="56" t="n"/>
      <c r="F26" s="56" t="n"/>
      <c r="G26" s="56" t="n"/>
      <c r="H26" s="56" t="n"/>
      <c r="I26" s="56" t="n"/>
      <c r="J26" s="56" t="n"/>
      <c r="K26" s="56" t="n"/>
    </row>
    <row r="27" ht="16.5" customHeight="1" s="10">
      <c r="A27" s="3" t="inlineStr">
        <is>
          <t>穩定的核心1個</t>
        </is>
      </c>
      <c r="B27" s="44">
        <f>MIN(D27:K27)</f>
        <v/>
      </c>
      <c r="C27" s="45">
        <f>MAX(D27:K27)</f>
        <v/>
      </c>
      <c r="D27" s="44" t="n"/>
      <c r="E27" s="57" t="n"/>
      <c r="F27" s="57" t="n"/>
      <c r="G27" s="57" t="n"/>
      <c r="H27" s="57" t="n"/>
      <c r="I27" s="57" t="n"/>
      <c r="J27" s="57" t="n"/>
      <c r="K27" s="57" t="n"/>
    </row>
    <row r="28" ht="16.5" customHeight="1" s="10">
      <c r="A28" s="3" t="inlineStr">
        <is>
          <t>內布隆原型選擇箱</t>
        </is>
      </c>
      <c r="B28" s="44">
        <f>MIN(D28:K28)</f>
        <v/>
      </c>
      <c r="C28" s="45">
        <f>MAX(D28:K28)</f>
        <v/>
      </c>
      <c r="D28" s="44" t="n"/>
      <c r="E28" s="57" t="n"/>
      <c r="F28" s="57" t="n"/>
      <c r="G28" s="57" t="n"/>
      <c r="H28" s="57" t="n"/>
      <c r="I28" s="57" t="n"/>
      <c r="J28" s="57" t="n"/>
      <c r="K28" s="57" t="n"/>
    </row>
    <row r="29" ht="16.5" customHeight="1" s="10">
      <c r="A29" s="3" t="inlineStr">
        <is>
          <t>超彈匣選擇箱</t>
        </is>
      </c>
      <c r="B29" s="44">
        <f>MIN(D29:K29)</f>
        <v/>
      </c>
      <c r="C29" s="45">
        <f>MAX(D29:K29)</f>
        <v/>
      </c>
      <c r="D29" s="44" t="n"/>
      <c r="E29" s="57" t="n"/>
      <c r="F29" s="57" t="n"/>
      <c r="G29" s="57" t="n"/>
      <c r="H29" s="57" t="n"/>
      <c r="I29" s="57" t="n"/>
      <c r="J29" s="57" t="n"/>
      <c r="K29" s="57" t="n"/>
    </row>
    <row r="30" ht="16.5" customHeight="1" s="10">
      <c r="A30" s="3" t="inlineStr">
        <is>
          <t>[阿利爾] 1%電路T板選擇箱</t>
        </is>
      </c>
      <c r="B30" s="44">
        <f>MIN(D30:K30)</f>
        <v/>
      </c>
      <c r="C30" s="45">
        <f>MAX(D30:K30)</f>
        <v/>
      </c>
      <c r="D30" s="44" t="n"/>
      <c r="E30" s="57" t="n"/>
      <c r="F30" s="57" t="n"/>
      <c r="G30" s="57" t="n"/>
      <c r="H30" s="57" t="n"/>
      <c r="I30" s="57" t="n"/>
      <c r="J30" s="57" t="n"/>
      <c r="K30" s="57" t="n"/>
    </row>
    <row r="31" ht="16.5" customHeight="1" s="10">
      <c r="A31" s="3" t="inlineStr">
        <is>
          <t>[阿利爾] 1%電路L板選擇箱</t>
        </is>
      </c>
      <c r="B31" s="44">
        <f>MIN(D31:K31)</f>
        <v/>
      </c>
      <c r="C31" s="45">
        <f>MAX(D31:K31)</f>
        <v/>
      </c>
      <c r="D31" s="44" t="n"/>
      <c r="E31" s="57" t="n"/>
      <c r="F31" s="57" t="n"/>
      <c r="G31" s="57" t="n"/>
      <c r="H31" s="57" t="n"/>
      <c r="I31" s="57" t="n"/>
      <c r="J31" s="57" t="n"/>
      <c r="K31" s="57" t="n"/>
    </row>
    <row r="32" ht="16.5" customHeight="1" s="10">
      <c r="A32" s="3" t="inlineStr">
        <is>
          <t>[阿利爾] 防具選項轉換石15個</t>
        </is>
      </c>
      <c r="B32" s="44">
        <f>MIN(D32:K32)</f>
        <v/>
      </c>
      <c r="C32" s="45">
        <f>MAX(D32:K32)</f>
        <v/>
      </c>
      <c r="D32" s="44" t="n"/>
      <c r="E32" s="57" t="n"/>
      <c r="F32" s="57" t="n"/>
      <c r="G32" s="57" t="n"/>
      <c r="H32" s="57" t="n"/>
      <c r="I32" s="57" t="n"/>
      <c r="J32" s="57" t="n"/>
      <c r="K32" s="57" t="n"/>
    </row>
    <row r="33" ht="16.5" customHeight="1" s="10">
      <c r="A33" s="3" t="inlineStr">
        <is>
          <t>[阿利爾] 核心備份模塊15個</t>
        </is>
      </c>
      <c r="B33" s="44">
        <f>MIN(D33:K33)</f>
        <v/>
      </c>
      <c r="C33" s="45">
        <f>MAX(D33:K33)</f>
        <v/>
      </c>
      <c r="D33" s="44" t="n"/>
      <c r="E33" s="57" t="n"/>
      <c r="F33" s="57" t="n"/>
      <c r="G33" s="57" t="n"/>
      <c r="H33" s="57" t="n"/>
      <c r="I33" s="57" t="n"/>
      <c r="J33" s="57" t="n"/>
      <c r="K33" s="57" t="n"/>
    </row>
    <row r="34" ht="16.5" customHeight="1" s="10">
      <c r="A34" s="3" t="inlineStr">
        <is>
          <t>核心備份模塊7個</t>
        </is>
      </c>
      <c r="B34" s="44">
        <f>MIN(D34:K34)</f>
        <v/>
      </c>
      <c r="C34" s="45">
        <f>MAX(D34:K34)</f>
        <v/>
      </c>
      <c r="D34" s="44" t="n"/>
      <c r="E34" s="57" t="n"/>
      <c r="F34" s="57" t="n"/>
      <c r="G34" s="57" t="n"/>
      <c r="H34" s="57" t="n"/>
      <c r="I34" s="57" t="n"/>
      <c r="J34" s="57" t="n"/>
      <c r="K34" s="57" t="n"/>
    </row>
    <row r="35" ht="16.5" customHeight="1" s="10">
      <c r="A35" s="2" t="inlineStr">
        <is>
          <t xml:space="preserve">層級五 </t>
        </is>
      </c>
      <c r="B35" s="58" t="n"/>
      <c r="C35" s="59" t="n"/>
      <c r="D35" s="49" t="n"/>
      <c r="E35" s="56" t="n"/>
      <c r="F35" s="56" t="n"/>
      <c r="G35" s="56" t="n"/>
      <c r="H35" s="56" t="n"/>
      <c r="I35" s="56" t="n"/>
      <c r="J35" s="56" t="n"/>
      <c r="K35" s="56" t="n"/>
    </row>
    <row r="36" ht="16.5" customHeight="1" s="10">
      <c r="A36" s="3" t="inlineStr">
        <is>
          <t>[阿利爾] 死級詞條升級券1個</t>
        </is>
      </c>
      <c r="B36" s="44">
        <f>MIN(D36:K36)</f>
        <v/>
      </c>
      <c r="C36" s="45">
        <f>MAX(D36:K36)</f>
        <v/>
      </c>
      <c r="D36" s="44" t="n"/>
      <c r="E36" s="57" t="n"/>
      <c r="F36" s="57" t="n"/>
      <c r="G36" s="57" t="n"/>
      <c r="H36" s="57" t="n"/>
      <c r="I36" s="57" t="n"/>
      <c r="J36" s="57" t="n"/>
      <c r="K36" s="57" t="n"/>
    </row>
    <row r="37" ht="16.5" customHeight="1" s="10">
      <c r="A37" s="3" t="inlineStr">
        <is>
          <t>[阿利爾] 防具詞條升級券1個</t>
        </is>
      </c>
      <c r="B37" s="44">
        <f>MIN(D37:K37)</f>
        <v/>
      </c>
      <c r="C37" s="45">
        <f>MAX(D37:K37)</f>
        <v/>
      </c>
      <c r="D37" s="44" t="n"/>
      <c r="E37" s="57" t="n"/>
      <c r="F37" s="57" t="n"/>
      <c r="G37" s="57" t="n"/>
      <c r="H37" s="57" t="n"/>
      <c r="I37" s="57" t="n"/>
      <c r="J37" s="57" t="n"/>
      <c r="K37" s="57" t="n"/>
    </row>
    <row r="38" ht="16.5" customHeight="1" s="10">
      <c r="A38" s="3" t="inlineStr">
        <is>
          <t>[阿利爾] 複製電路選擇箱</t>
        </is>
      </c>
      <c r="B38" s="44">
        <f>MIN(D38:K38)</f>
        <v/>
      </c>
      <c r="C38" s="45">
        <f>MAX(D38:K38)</f>
        <v/>
      </c>
      <c r="D38" s="44" t="n"/>
      <c r="E38" s="57" t="n"/>
      <c r="F38" s="57" t="n"/>
      <c r="G38" s="57" t="n"/>
      <c r="H38" s="57" t="n"/>
      <c r="I38" s="57" t="n"/>
      <c r="J38" s="57" t="n"/>
      <c r="K38" s="57" t="n"/>
    </row>
    <row r="39" ht="16.5" customHeight="1" s="10">
      <c r="A39" s="3" t="inlineStr">
        <is>
          <t>[阿利爾] 防具選項轉換石20個</t>
        </is>
      </c>
      <c r="B39" s="44">
        <f>MIN(D39:K39)</f>
        <v/>
      </c>
      <c r="C39" s="45">
        <f>MAX(D39:K39)</f>
        <v/>
      </c>
      <c r="D39" s="44" t="n"/>
      <c r="E39" s="57" t="n"/>
      <c r="F39" s="57" t="n"/>
      <c r="G39" s="57" t="n"/>
      <c r="H39" s="57" t="n"/>
      <c r="I39" s="57" t="n"/>
      <c r="J39" s="57" t="n"/>
      <c r="K39" s="57" t="n"/>
    </row>
    <row r="40" ht="16.5" customHeight="1" s="10">
      <c r="A40" s="3" t="inlineStr">
        <is>
          <t>[阿利爾] 核心備份模塊20個</t>
        </is>
      </c>
      <c r="B40" s="44">
        <f>MIN(D40:K40)</f>
        <v/>
      </c>
      <c r="C40" s="45">
        <f>MAX(D40:K40)</f>
        <v/>
      </c>
      <c r="D40" s="44" t="n"/>
      <c r="E40" s="57" t="n"/>
      <c r="F40" s="57" t="n"/>
      <c r="G40" s="57" t="n"/>
      <c r="H40" s="57" t="n"/>
      <c r="I40" s="57" t="n"/>
      <c r="J40" s="57" t="n"/>
      <c r="K40" s="57" t="n"/>
    </row>
    <row r="41" ht="16.5" customHeight="1" s="10">
      <c r="A41" s="3" t="inlineStr">
        <is>
          <t>核心備份模塊10個</t>
        </is>
      </c>
      <c r="B41" s="44">
        <f>MIN(D41:K41)</f>
        <v/>
      </c>
      <c r="C41" s="45">
        <f>MAX(D41:K41)</f>
        <v/>
      </c>
      <c r="D41" s="44">
        <f>G41</f>
        <v/>
      </c>
      <c r="E41" s="57">
        <f>E16*10</f>
        <v/>
      </c>
      <c r="F41" s="57" t="n"/>
      <c r="G41" s="57">
        <f>G16*10</f>
        <v/>
      </c>
      <c r="H41" s="57" t="n"/>
      <c r="I41" s="57" t="n"/>
      <c r="J41" s="57" t="n"/>
      <c r="K41" s="57" t="n"/>
    </row>
    <row r="42" ht="16.5" customHeight="1" s="10">
      <c r="A42" s="8" t="n"/>
      <c r="B42" s="49" t="n"/>
      <c r="C42" s="50" t="n"/>
      <c r="D42" s="49" t="n"/>
      <c r="E42" s="56" t="n"/>
      <c r="F42" s="56" t="n"/>
      <c r="G42" s="56" t="n"/>
      <c r="H42" s="56" t="n"/>
      <c r="I42" s="56" t="n"/>
      <c r="J42" s="56" t="n"/>
      <c r="K42" s="56" t="n"/>
    </row>
    <row r="43">
      <c r="B43" s="16" t="n"/>
      <c r="C43" s="15" t="n"/>
      <c r="D43" s="16" t="n"/>
    </row>
    <row r="44">
      <c r="B44" s="16" t="n"/>
      <c r="C44" s="15" t="n"/>
      <c r="D44" s="16" t="n"/>
    </row>
    <row r="45">
      <c r="B45" s="16" t="n"/>
      <c r="C45" s="15" t="n"/>
      <c r="D45" s="16" t="n"/>
    </row>
    <row r="46">
      <c r="B46" s="16" t="n"/>
      <c r="C46" s="15" t="n"/>
      <c r="D46" s="16" t="n"/>
    </row>
    <row r="47">
      <c r="B47" s="16" t="n"/>
      <c r="C47" s="15" t="n"/>
      <c r="D47" s="16" t="n"/>
    </row>
    <row r="48">
      <c r="B48" s="16" t="n"/>
      <c r="C48" s="15" t="n"/>
      <c r="D48" s="16" t="n"/>
    </row>
    <row r="49">
      <c r="B49" s="16" t="n"/>
      <c r="C49" s="15" t="n"/>
      <c r="D49" s="16" t="n"/>
    </row>
    <row r="50">
      <c r="B50" s="16" t="n"/>
      <c r="C50" s="15" t="n"/>
      <c r="D50" s="16" t="n"/>
    </row>
    <row r="51">
      <c r="B51" s="16" t="n"/>
      <c r="C51" s="15" t="n"/>
      <c r="D51" s="16" t="n"/>
    </row>
    <row r="52">
      <c r="B52" s="16" t="n"/>
      <c r="C52" s="15" t="n"/>
      <c r="D52" s="16" t="n"/>
    </row>
    <row r="53">
      <c r="B53" s="16" t="n"/>
      <c r="C53" s="15" t="n"/>
      <c r="D53" s="16" t="n"/>
    </row>
    <row r="54">
      <c r="B54" s="16" t="n"/>
      <c r="C54" s="15" t="n"/>
      <c r="D54" s="16" t="n"/>
    </row>
    <row r="55">
      <c r="B55" s="16" t="n"/>
      <c r="C55" s="15" t="n"/>
      <c r="D55" s="16" t="n"/>
    </row>
    <row r="56">
      <c r="B56" s="16" t="n"/>
      <c r="C56" s="15" t="n"/>
      <c r="D56" s="16" t="n"/>
    </row>
    <row r="57">
      <c r="B57" s="16" t="n"/>
      <c r="C57" s="15" t="n"/>
      <c r="D57" s="16" t="n"/>
    </row>
    <row r="58">
      <c r="B58" s="16" t="n"/>
      <c r="C58" s="15" t="n"/>
      <c r="D58" s="16" t="n"/>
    </row>
    <row r="59">
      <c r="B59" s="16" t="n"/>
      <c r="C59" s="15" t="n"/>
      <c r="D59" s="16" t="n"/>
    </row>
    <row r="60">
      <c r="B60" s="16" t="n"/>
      <c r="C60" s="15" t="n"/>
      <c r="D60" s="16" t="n"/>
    </row>
    <row r="61">
      <c r="B61" s="16" t="n"/>
      <c r="C61" s="15" t="n"/>
      <c r="D61" s="16" t="n"/>
    </row>
    <row r="62">
      <c r="B62" s="16" t="n"/>
      <c r="C62" s="15" t="n"/>
      <c r="D62" s="16" t="n"/>
    </row>
    <row r="63">
      <c r="B63" s="16" t="n"/>
      <c r="C63" s="15" t="n"/>
      <c r="D63" s="16" t="n"/>
    </row>
    <row r="64">
      <c r="B64" s="16" t="n"/>
      <c r="C64" s="15" t="n"/>
      <c r="D64" s="16" t="n"/>
    </row>
    <row r="65">
      <c r="B65" s="16" t="n"/>
      <c r="C65" s="15" t="n"/>
      <c r="D65" s="16" t="n"/>
    </row>
    <row r="66">
      <c r="B66" s="16" t="n"/>
      <c r="C66" s="15" t="n"/>
      <c r="D66" s="16" t="n"/>
    </row>
    <row r="67">
      <c r="B67" s="16" t="n"/>
      <c r="C67" s="15" t="n"/>
      <c r="D67" s="16" t="n"/>
    </row>
    <row r="68">
      <c r="B68" s="16" t="n"/>
      <c r="C68" s="15" t="n"/>
      <c r="D68" s="16" t="n"/>
    </row>
    <row r="69">
      <c r="B69" s="16" t="n"/>
      <c r="C69" s="15" t="n"/>
      <c r="D69" s="16" t="n"/>
    </row>
    <row r="70">
      <c r="B70" s="16" t="n"/>
      <c r="C70" s="15" t="n"/>
      <c r="D70" s="16" t="n"/>
    </row>
    <row r="71">
      <c r="B71" s="16" t="n"/>
      <c r="C71" s="15" t="n"/>
      <c r="D71" s="16" t="n"/>
    </row>
    <row r="72">
      <c r="B72" s="16" t="n"/>
      <c r="C72" s="15" t="n"/>
      <c r="D72" s="16" t="n"/>
    </row>
    <row r="73">
      <c r="B73" s="16" t="n"/>
      <c r="C73" s="15" t="n"/>
      <c r="D73" s="16" t="n"/>
    </row>
    <row r="74">
      <c r="B74" s="16" t="n"/>
      <c r="C74" s="15" t="n"/>
      <c r="D74" s="16" t="n"/>
    </row>
    <row r="75">
      <c r="B75" s="16" t="n"/>
      <c r="C75" s="15" t="n"/>
      <c r="D75" s="16" t="n"/>
    </row>
    <row r="76">
      <c r="B76" s="16" t="n"/>
      <c r="C76" s="15" t="n"/>
      <c r="D76" s="16" t="n"/>
    </row>
    <row r="77">
      <c r="B77" s="16" t="n"/>
      <c r="C77" s="15" t="n"/>
      <c r="D77" s="16" t="n"/>
    </row>
    <row r="78">
      <c r="B78" s="16" t="n"/>
      <c r="C78" s="15" t="n"/>
      <c r="D78" s="16" t="n"/>
    </row>
  </sheetData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2015-06-05T18:19:34Z</dcterms:created>
  <dcterms:modified xsi:type="dcterms:W3CDTF">2026-09-30T13:15:14Z</dcterms:modified>
  <cp:lastModifiedBy>Winston Yixi</cp:lastModifiedBy>
</cp:coreProperties>
</file>