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ElswordInfo\DarkElfMarket\"/>
    </mc:Choice>
  </mc:AlternateContent>
  <xr:revisionPtr revIDLastSave="0" documentId="13_ncr:1_{00599DAD-4DF2-49B7-A55F-C7B1CDA839E5}" xr6:coauthVersionLast="47" xr6:coauthVersionMax="47" xr10:uidLastSave="{00000000-0000-0000-0000-000000000000}"/>
  <bookViews>
    <workbookView xWindow="5280" yWindow="3045" windowWidth="21600" windowHeight="11385" activeTab="2" xr2:uid="{00000000-000D-0000-FFFF-FFFF00000000}"/>
  </bookViews>
  <sheets>
    <sheet name="工作表2" sheetId="2" r:id="rId1"/>
    <sheet name="List" sheetId="1" r:id="rId2"/>
    <sheet name="0926紀錄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4" l="1"/>
  <c r="C6" i="4"/>
  <c r="C7" i="4"/>
  <c r="C8" i="4"/>
  <c r="C9" i="4"/>
  <c r="C11" i="4"/>
  <c r="C12" i="4"/>
  <c r="C13" i="4"/>
  <c r="C14" i="4"/>
  <c r="C15" i="4"/>
  <c r="C16" i="4"/>
  <c r="C17" i="4"/>
  <c r="C19" i="4"/>
  <c r="C20" i="4"/>
  <c r="C21" i="4"/>
  <c r="C22" i="4"/>
  <c r="C23" i="4"/>
  <c r="C24" i="4"/>
  <c r="C25" i="4"/>
  <c r="C27" i="4"/>
  <c r="C28" i="4"/>
  <c r="C29" i="4"/>
  <c r="C30" i="4"/>
  <c r="C31" i="4"/>
  <c r="C32" i="4"/>
  <c r="C33" i="4"/>
  <c r="C34" i="4"/>
  <c r="C36" i="4"/>
  <c r="C37" i="4"/>
  <c r="C38" i="4"/>
  <c r="C39" i="4"/>
  <c r="C40" i="4"/>
  <c r="C41" i="4"/>
  <c r="C4" i="4"/>
  <c r="B11" i="4"/>
  <c r="B12" i="4"/>
  <c r="B13" i="4"/>
  <c r="B14" i="4"/>
  <c r="B15" i="4"/>
  <c r="B16" i="4"/>
  <c r="B17" i="4"/>
  <c r="B19" i="4"/>
  <c r="B20" i="4"/>
  <c r="B21" i="4"/>
  <c r="B22" i="4"/>
  <c r="B23" i="4"/>
  <c r="B24" i="4"/>
  <c r="B25" i="4"/>
  <c r="B27" i="4"/>
  <c r="B28" i="4"/>
  <c r="B29" i="4"/>
  <c r="B30" i="4"/>
  <c r="B31" i="4"/>
  <c r="B32" i="4"/>
  <c r="B33" i="4"/>
  <c r="B34" i="4"/>
  <c r="B36" i="4"/>
  <c r="B37" i="4"/>
  <c r="B38" i="4"/>
  <c r="B39" i="4"/>
  <c r="B40" i="4"/>
  <c r="B41" i="4"/>
  <c r="B5" i="4"/>
  <c r="B6" i="4"/>
  <c r="B7" i="4"/>
  <c r="B8" i="4"/>
  <c r="B9" i="4"/>
  <c r="B4" i="4"/>
  <c r="G41" i="4"/>
  <c r="D41" i="4" s="1"/>
  <c r="E41" i="4"/>
  <c r="G17" i="2"/>
  <c r="G9" i="2"/>
  <c r="D9" i="2" s="1"/>
  <c r="D8" i="2"/>
  <c r="D7" i="2"/>
  <c r="D13" i="2"/>
  <c r="D14" i="2"/>
  <c r="D17" i="2"/>
  <c r="D16" i="2"/>
  <c r="D24" i="2"/>
  <c r="D33" i="2"/>
  <c r="D41" i="2"/>
  <c r="G14" i="2"/>
  <c r="D6" i="2"/>
  <c r="G41" i="2"/>
  <c r="G40" i="2"/>
  <c r="D40" i="2" s="1"/>
  <c r="D38" i="2"/>
  <c r="D31" i="2"/>
  <c r="D30" i="2"/>
  <c r="F32" i="2"/>
  <c r="D32" i="2" s="1"/>
  <c r="F39" i="2"/>
  <c r="D39" i="2" s="1"/>
  <c r="F22" i="2"/>
  <c r="D22" i="2" s="1"/>
  <c r="F13" i="2"/>
  <c r="F9" i="2"/>
  <c r="F7" i="2"/>
  <c r="F6" i="2"/>
  <c r="F5" i="2"/>
  <c r="F4" i="2"/>
  <c r="D29" i="2"/>
  <c r="D28" i="2"/>
  <c r="D27" i="2"/>
  <c r="D23" i="2"/>
  <c r="D21" i="2"/>
  <c r="D20" i="2"/>
  <c r="D19" i="2"/>
  <c r="D12" i="2"/>
  <c r="D11" i="2"/>
  <c r="D5" i="2"/>
  <c r="D4" i="2"/>
  <c r="E41" i="2"/>
  <c r="E40" i="2"/>
  <c r="G24" i="2"/>
  <c r="G25" i="2"/>
  <c r="D25" i="2" s="1"/>
  <c r="E24" i="2"/>
  <c r="G33" i="2"/>
  <c r="G34" i="2"/>
  <c r="D34" i="2" s="1"/>
  <c r="E34" i="2"/>
  <c r="E33" i="2"/>
  <c r="E32" i="2"/>
  <c r="G15" i="2"/>
  <c r="D15" i="2" s="1"/>
  <c r="E15" i="2"/>
  <c r="E25" i="2"/>
  <c r="E39" i="2"/>
  <c r="E22" i="2"/>
  <c r="E13" i="2"/>
  <c r="E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1" authorId="0" shapeId="0" xr:uid="{C6DD0433-7DC5-4CFF-9BE9-35DB6B99660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假設一件成裝</t>
        </r>
        <r>
          <rPr>
            <sz val="9"/>
            <color indexed="81"/>
            <rFont val="Tahoma"/>
            <family val="2"/>
          </rPr>
          <t xml:space="preserve">140 7000NT
</t>
        </r>
        <r>
          <rPr>
            <sz val="9"/>
            <color indexed="81"/>
            <rFont val="細明體"/>
            <family val="3"/>
            <charset val="136"/>
          </rPr>
          <t>黑色碎片換算台幣</t>
        </r>
        <r>
          <rPr>
            <sz val="9"/>
            <color indexed="81"/>
            <rFont val="Tahoma"/>
            <family val="2"/>
          </rPr>
          <t>50</t>
        </r>
      </text>
    </comment>
    <comment ref="A4" authorId="0" shapeId="0" xr:uid="{109D20DA-46F1-482B-B0DC-68EF964FC60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先當</t>
        </r>
        <r>
          <rPr>
            <sz val="9"/>
            <color indexed="81"/>
            <rFont val="Tahoma"/>
            <family val="2"/>
          </rPr>
          <t>10</t>
        </r>
        <r>
          <rPr>
            <sz val="9"/>
            <color indexed="81"/>
            <rFont val="細明體"/>
            <family val="3"/>
            <charset val="136"/>
          </rPr>
          <t xml:space="preserve">個黑色碎片
</t>
        </r>
      </text>
    </comment>
    <comment ref="A7" authorId="0" shapeId="0" xr:uid="{43E4D2D1-A512-4FC5-B080-8640904B7B5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視同死龍後悔卷 1e ED</t>
        </r>
      </text>
    </comment>
    <comment ref="A8" authorId="0" shapeId="0" xr:uid="{943F3898-3D55-4982-AB28-3BBAC78DB3B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商城</t>
        </r>
        <r>
          <rPr>
            <sz val="9"/>
            <color indexed="81"/>
            <rFont val="Tahoma"/>
            <family val="2"/>
          </rPr>
          <t>1e ED + 5</t>
        </r>
        <r>
          <rPr>
            <sz val="9"/>
            <color indexed="81"/>
            <rFont val="細明體"/>
            <family val="3"/>
            <charset val="136"/>
          </rPr>
          <t>片備份模塊</t>
        </r>
        <r>
          <rPr>
            <sz val="9"/>
            <color indexed="81"/>
            <rFont val="Tahoma"/>
            <family val="2"/>
          </rPr>
          <t xml:space="preserve"> = 450$
</t>
        </r>
        <r>
          <rPr>
            <sz val="9"/>
            <color indexed="81"/>
            <rFont val="細明體"/>
            <family val="3"/>
            <charset val="136"/>
          </rPr>
          <t>轉換後一片約</t>
        </r>
        <r>
          <rPr>
            <sz val="9"/>
            <color indexed="81"/>
            <rFont val="Tahoma"/>
            <family val="2"/>
          </rPr>
          <t>88</t>
        </r>
      </text>
    </comment>
    <comment ref="A9" authorId="0" shapeId="0" xr:uid="{6C127B53-73D8-4FE4-9CB4-C1E8BF69C9A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細明體"/>
            <family val="3"/>
            <charset val="136"/>
          </rPr>
          <t>蔣萬安瓶</t>
        </r>
        <r>
          <rPr>
            <sz val="9"/>
            <color indexed="81"/>
            <rFont val="Tahoma"/>
            <family val="2"/>
          </rPr>
          <t xml:space="preserve"> = 100</t>
        </r>
        <r>
          <rPr>
            <sz val="9"/>
            <color indexed="81"/>
            <rFont val="細明體"/>
            <family val="3"/>
            <charset val="136"/>
          </rPr>
          <t>掉落材料</t>
        </r>
      </text>
    </comment>
    <comment ref="A16" authorId="0" shapeId="0" xr:uid="{3C41CA6D-358C-4550-94A4-1AC1A1DD32B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商城</t>
        </r>
        <r>
          <rPr>
            <sz val="9"/>
            <color indexed="81"/>
            <rFont val="Tahoma"/>
            <family val="2"/>
          </rPr>
          <t>1e ED + 5</t>
        </r>
        <r>
          <rPr>
            <sz val="9"/>
            <color indexed="81"/>
            <rFont val="細明體"/>
            <family val="3"/>
            <charset val="136"/>
          </rPr>
          <t>片備份模塊 = 450$
轉換後一片約88</t>
        </r>
      </text>
    </comment>
    <comment ref="A21" authorId="0" shapeId="0" xr:uid="{2CFEAE53-5403-4190-B330-C589C4B5E88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先當4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個黑色碎片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1" authorId="0" shapeId="0" xr:uid="{F41CD953-6A93-45FA-A2FC-036E805F6CE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假設一件成裝</t>
        </r>
        <r>
          <rPr>
            <sz val="9"/>
            <color indexed="81"/>
            <rFont val="Tahoma"/>
            <family val="2"/>
          </rPr>
          <t xml:space="preserve">140 7000NT
</t>
        </r>
        <r>
          <rPr>
            <sz val="9"/>
            <color indexed="81"/>
            <rFont val="細明體"/>
            <family val="3"/>
            <charset val="136"/>
          </rPr>
          <t>黑色碎片換算台幣</t>
        </r>
        <r>
          <rPr>
            <sz val="9"/>
            <color indexed="81"/>
            <rFont val="Tahoma"/>
            <family val="2"/>
          </rPr>
          <t>50</t>
        </r>
      </text>
    </comment>
  </commentList>
</comments>
</file>

<file path=xl/sharedStrings.xml><?xml version="1.0" encoding="utf-8"?>
<sst xmlns="http://schemas.openxmlformats.org/spreadsheetml/2006/main" count="145" uniqueCount="60">
  <si>
    <t>【黑暗精靈黑市 - 可能出現的拍賣品】</t>
  </si>
  <si>
    <t xml:space="preserve">層級一 </t>
  </si>
  <si>
    <t>一般彈匣魔方</t>
  </si>
  <si>
    <t>黑色碎片2個</t>
  </si>
  <si>
    <t>[阿利爾] 防具選項轉換石3個</t>
  </si>
  <si>
    <t>[阿利爾] 防具選項備份卷1個</t>
  </si>
  <si>
    <t>[阿利爾] 核心備份模塊1個</t>
  </si>
  <si>
    <t>每周鍛造材料1000個</t>
  </si>
  <si>
    <t xml:space="preserve">層級二 </t>
  </si>
  <si>
    <t>彈匣魔方</t>
  </si>
  <si>
    <t>黑色碎片4個</t>
  </si>
  <si>
    <t>[阿利爾] 防具選項轉換石5個</t>
  </si>
  <si>
    <t>[阿利爾] 防具選項備份卷3個</t>
  </si>
  <si>
    <t>[阿利爾] 核心備份模塊3個</t>
  </si>
  <si>
    <t>核心備份模塊1個</t>
  </si>
  <si>
    <t>每周鍛造材料2000個</t>
  </si>
  <si>
    <t xml:space="preserve">層級三 </t>
  </si>
  <si>
    <t>核心1個</t>
  </si>
  <si>
    <t>[阿利爾] 內布隆原型選擇箱</t>
  </si>
  <si>
    <t>超彈匣魔方</t>
  </si>
  <si>
    <t>[阿利爾] 防具選項轉換石10個</t>
  </si>
  <si>
    <t>支援 &amp; 戰鬥 &amp; 通用彈匣選擇箱</t>
  </si>
  <si>
    <t>[阿利爾] 核心備份模塊10個</t>
  </si>
  <si>
    <t>核心備份模塊5個</t>
  </si>
  <si>
    <t xml:space="preserve">層級四 </t>
  </si>
  <si>
    <t>穩定的核心1個</t>
  </si>
  <si>
    <t>內布隆原型選擇箱</t>
  </si>
  <si>
    <t>超彈匣選擇箱</t>
  </si>
  <si>
    <t>[阿利爾] 1%電路T板選擇箱</t>
  </si>
  <si>
    <t>[阿利爾] 1%電路L板選擇箱</t>
  </si>
  <si>
    <t>[阿利爾] 防具選項轉換石15個</t>
  </si>
  <si>
    <t>[阿利爾] 核心備份模塊15個</t>
  </si>
  <si>
    <t>核心備份模塊7個</t>
  </si>
  <si>
    <t xml:space="preserve">層級五 </t>
  </si>
  <si>
    <t>[阿利爾] 死級詞條升級券1個</t>
  </si>
  <si>
    <t>[阿利爾] 防具詞條升級券1個</t>
  </si>
  <si>
    <t>[阿利爾] 複製電路選擇箱</t>
  </si>
  <si>
    <t>[阿利爾] 防具選項轉換石20個</t>
  </si>
  <si>
    <t>[阿利爾] 核心備份模塊20個</t>
  </si>
  <si>
    <t>核心備份模塊10個</t>
  </si>
  <si>
    <t>商城價(NT)</t>
    <phoneticPr fontId="5" type="noConversion"/>
  </si>
  <si>
    <t>商人價(NT)</t>
    <phoneticPr fontId="5" type="noConversion"/>
  </si>
  <si>
    <t>Last Update: 20260914</t>
    <phoneticPr fontId="5" type="noConversion"/>
  </si>
  <si>
    <t>ED匯率:</t>
    <phoneticPr fontId="5" type="noConversion"/>
  </si>
  <si>
    <t>已知成交價</t>
    <phoneticPr fontId="5" type="noConversion"/>
  </si>
  <si>
    <t>已知成交價NT</t>
    <phoneticPr fontId="5" type="noConversion"/>
  </si>
  <si>
    <t>已知成交價ED</t>
    <phoneticPr fontId="5" type="noConversion"/>
  </si>
  <si>
    <t>板子價(ED)</t>
    <phoneticPr fontId="5" type="noConversion"/>
  </si>
  <si>
    <t>最低價參考</t>
    <phoneticPr fontId="5" type="noConversion"/>
  </si>
  <si>
    <t>最高價參考</t>
    <phoneticPr fontId="5" type="noConversion"/>
  </si>
  <si>
    <t>一般彈匣選擇箱</t>
    <phoneticPr fontId="5" type="noConversion"/>
  </si>
  <si>
    <t>黑色碎片換算</t>
    <phoneticPr fontId="5" type="noConversion"/>
  </si>
  <si>
    <t>ED</t>
    <phoneticPr fontId="5" type="noConversion"/>
  </si>
  <si>
    <t>黑色碎片匯率:</t>
    <phoneticPr fontId="5" type="noConversion"/>
  </si>
  <si>
    <t>參考價(ED</t>
    <phoneticPr fontId="5" type="noConversion"/>
  </si>
  <si>
    <t>轉點優惠:</t>
    <phoneticPr fontId="5" type="noConversion"/>
  </si>
  <si>
    <t>美托龍(ED)</t>
    <phoneticPr fontId="5" type="noConversion"/>
  </si>
  <si>
    <t>成交ED名目紀錄</t>
    <phoneticPr fontId="5" type="noConversion"/>
  </si>
  <si>
    <t>TBA</t>
    <phoneticPr fontId="5" type="noConversion"/>
  </si>
  <si>
    <t>ED比值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</si>
</sst>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#,##0_);[Red]\(#,##0\)"/>
    <numFmt numFmtId="177" formatCode="_-* #,##0_-;\-* #,##0_-;_-* &quot;-&quot;??_-;_-@_-"/>
    <numFmt numFmtId="178" formatCode="m&quot;月&quot;d&quot;日&quot;"/>
  </numFmts>
  <fonts count="12"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b/>
      <sz val="12"/>
      <color theme="1"/>
      <name val="Inherit"/>
      <family val="2"/>
    </font>
    <font>
      <sz val="12"/>
      <color theme="1"/>
      <name val="微軟正黑體"/>
      <family val="2"/>
      <charset val="136"/>
    </font>
    <font>
      <sz val="12"/>
      <color theme="1"/>
      <name val="Inherit"/>
      <family val="2"/>
    </font>
    <font>
      <sz val="9"/>
      <name val="新細明體"/>
      <family val="3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>
      <alignment vertical="center"/>
    </xf>
  </cellStyleXfs>
  <cellXfs count="4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left" vertical="center" indent="1"/>
    </xf>
    <xf numFmtId="176" fontId="0" fillId="0" borderId="0" xfId="1" applyNumberFormat="1" applyFont="1" applyAlignment="1"/>
    <xf numFmtId="0" fontId="0" fillId="0" borderId="1" xfId="0" applyBorder="1"/>
    <xf numFmtId="177" fontId="0" fillId="0" borderId="0" xfId="1" applyNumberFormat="1" applyFont="1" applyAlignment="1"/>
    <xf numFmtId="0" fontId="3" fillId="0" borderId="0" xfId="0" applyFont="1" applyAlignment="1">
      <alignment horizontal="left" vertical="center" indent="1"/>
    </xf>
    <xf numFmtId="0" fontId="0" fillId="2" borderId="0" xfId="0" applyFill="1"/>
    <xf numFmtId="177" fontId="0" fillId="2" borderId="0" xfId="1" applyNumberFormat="1" applyFont="1" applyFill="1" applyAlignment="1"/>
    <xf numFmtId="0" fontId="0" fillId="0" borderId="0" xfId="0" applyBorder="1"/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11" fillId="0" borderId="0" xfId="0" applyFont="1"/>
    <xf numFmtId="0" fontId="11" fillId="0" borderId="1" xfId="0" applyFont="1" applyBorder="1"/>
    <xf numFmtId="0" fontId="11" fillId="0" borderId="0" xfId="0" applyFont="1" applyBorder="1"/>
    <xf numFmtId="0" fontId="10" fillId="2" borderId="0" xfId="0" applyFont="1" applyFill="1" applyAlignment="1">
      <alignment horizontal="left"/>
    </xf>
    <xf numFmtId="0" fontId="10" fillId="2" borderId="1" xfId="0" applyFont="1" applyFill="1" applyBorder="1" applyAlignment="1">
      <alignment horizontal="left"/>
    </xf>
    <xf numFmtId="0" fontId="10" fillId="2" borderId="0" xfId="0" applyFont="1" applyFill="1" applyBorder="1" applyAlignment="1">
      <alignment horizontal="left"/>
    </xf>
    <xf numFmtId="177" fontId="10" fillId="0" borderId="0" xfId="1" applyNumberFormat="1" applyFont="1" applyAlignment="1">
      <alignment horizontal="left" vertical="center" indent="1"/>
    </xf>
    <xf numFmtId="177" fontId="10" fillId="0" borderId="1" xfId="1" applyNumberFormat="1" applyFont="1" applyBorder="1" applyAlignment="1">
      <alignment horizontal="left" vertical="center" indent="1"/>
    </xf>
    <xf numFmtId="177" fontId="10" fillId="0" borderId="0" xfId="1" applyNumberFormat="1" applyFont="1" applyBorder="1" applyAlignment="1">
      <alignment horizontal="left" vertical="top" indent="1"/>
    </xf>
    <xf numFmtId="177" fontId="10" fillId="0" borderId="0" xfId="1" applyNumberFormat="1" applyFont="1" applyBorder="1" applyAlignment="1">
      <alignment horizontal="left" vertical="center" indent="1"/>
    </xf>
    <xf numFmtId="177" fontId="10" fillId="2" borderId="0" xfId="1" applyNumberFormat="1" applyFont="1" applyFill="1" applyAlignment="1">
      <alignment horizontal="left"/>
    </xf>
    <xf numFmtId="177" fontId="10" fillId="2" borderId="1" xfId="1" applyNumberFormat="1" applyFont="1" applyFill="1" applyBorder="1" applyAlignment="1">
      <alignment horizontal="left"/>
    </xf>
    <xf numFmtId="177" fontId="10" fillId="2" borderId="0" xfId="1" applyNumberFormat="1" applyFont="1" applyFill="1" applyBorder="1" applyAlignment="1">
      <alignment horizontal="left"/>
    </xf>
    <xf numFmtId="177" fontId="11" fillId="2" borderId="0" xfId="1" applyNumberFormat="1" applyFont="1" applyFill="1" applyAlignment="1">
      <alignment horizontal="left"/>
    </xf>
    <xf numFmtId="177" fontId="11" fillId="2" borderId="1" xfId="1" applyNumberFormat="1" applyFont="1" applyFill="1" applyBorder="1" applyAlignment="1">
      <alignment horizontal="left"/>
    </xf>
    <xf numFmtId="177" fontId="11" fillId="2" borderId="0" xfId="1" applyNumberFormat="1" applyFont="1" applyFill="1" applyBorder="1" applyAlignment="1">
      <alignment horizontal="left"/>
    </xf>
    <xf numFmtId="43" fontId="0" fillId="0" borderId="0" xfId="1" applyNumberFormat="1" applyFont="1" applyAlignment="1"/>
    <xf numFmtId="43" fontId="0" fillId="0" borderId="0" xfId="0" applyNumberFormat="1"/>
    <xf numFmtId="177" fontId="10" fillId="2" borderId="0" xfId="1" applyNumberFormat="1" applyFont="1" applyFill="1" applyAlignment="1"/>
    <xf numFmtId="177" fontId="10" fillId="0" borderId="0" xfId="1" applyNumberFormat="1" applyFont="1" applyAlignment="1"/>
    <xf numFmtId="177" fontId="10" fillId="2" borderId="0" xfId="1" applyNumberFormat="1" applyFont="1" applyFill="1" applyAlignment="1">
      <alignment horizontal="left" vertical="center" indent="1"/>
    </xf>
    <xf numFmtId="177" fontId="10" fillId="2" borderId="1" xfId="1" applyNumberFormat="1" applyFont="1" applyFill="1" applyBorder="1" applyAlignment="1">
      <alignment horizontal="left" vertical="center" indent="1"/>
    </xf>
    <xf numFmtId="0" fontId="0" fillId="0" borderId="0" xfId="0" applyFill="1" applyBorder="1" applyAlignment="1">
      <alignment horizontal="right"/>
    </xf>
    <xf numFmtId="177" fontId="0" fillId="0" borderId="0" xfId="1" applyNumberFormat="1" applyFont="1" applyAlignment="1">
      <alignment horizontal="right"/>
    </xf>
    <xf numFmtId="178" fontId="9" fillId="0" borderId="0" xfId="0" applyNumberFormat="1" applyFont="1" applyBorder="1" applyAlignment="1">
      <alignment horizontal="right" vertical="center"/>
    </xf>
    <xf numFmtId="177" fontId="9" fillId="0" borderId="0" xfId="1" applyNumberFormat="1" applyFont="1" applyAlignment="1">
      <alignment horizontal="right"/>
    </xf>
  </cellXfs>
  <cellStyles count="2">
    <cellStyle name="一般" xfId="0" builtinId="0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5A36F-C65F-4CB4-A2B1-7A87A32DCDE0}">
  <dimension ref="A1:L78"/>
  <sheetViews>
    <sheetView zoomScale="85" zoomScaleNormal="85" workbookViewId="0">
      <selection activeCell="F1" sqref="F1"/>
    </sheetView>
  </sheetViews>
  <sheetFormatPr defaultRowHeight="15.75"/>
  <cols>
    <col min="1" max="1" width="40.5703125" customWidth="1"/>
    <col min="2" max="2" width="19.85546875" customWidth="1"/>
    <col min="3" max="3" width="18.5703125" style="5" customWidth="1"/>
    <col min="4" max="4" width="18.5703125" style="10" customWidth="1"/>
    <col min="5" max="5" width="16.7109375" customWidth="1"/>
    <col min="6" max="6" width="18.28515625" customWidth="1"/>
    <col min="7" max="8" width="18.28515625" style="6" customWidth="1"/>
    <col min="9" max="10" width="18.28515625" customWidth="1"/>
    <col min="11" max="11" width="18.140625" customWidth="1"/>
  </cols>
  <sheetData>
    <row r="1" spans="1:12">
      <c r="A1" t="s">
        <v>42</v>
      </c>
      <c r="B1" t="s">
        <v>48</v>
      </c>
      <c r="C1" s="5" t="s">
        <v>49</v>
      </c>
      <c r="E1" s="6" t="s">
        <v>43</v>
      </c>
      <c r="F1" s="6">
        <v>10000000</v>
      </c>
      <c r="G1" s="6" t="s">
        <v>53</v>
      </c>
      <c r="H1" s="6">
        <v>500000000</v>
      </c>
      <c r="I1" s="6" t="s">
        <v>55</v>
      </c>
      <c r="J1" s="30">
        <v>0.87</v>
      </c>
      <c r="K1" s="6" t="s">
        <v>56</v>
      </c>
      <c r="L1">
        <v>30000</v>
      </c>
    </row>
    <row r="2" spans="1:12" ht="16.5">
      <c r="A2" s="1" t="s">
        <v>0</v>
      </c>
      <c r="B2" s="11" t="s">
        <v>52</v>
      </c>
      <c r="C2" s="12" t="s">
        <v>52</v>
      </c>
      <c r="D2" s="13" t="s">
        <v>54</v>
      </c>
      <c r="E2" t="s">
        <v>40</v>
      </c>
      <c r="F2" t="s">
        <v>41</v>
      </c>
      <c r="G2" s="6" t="s">
        <v>47</v>
      </c>
      <c r="H2" s="6" t="s">
        <v>51</v>
      </c>
      <c r="I2" t="s">
        <v>44</v>
      </c>
      <c r="J2" t="s">
        <v>45</v>
      </c>
      <c r="K2" t="s">
        <v>46</v>
      </c>
    </row>
    <row r="3" spans="1:12" ht="16.5">
      <c r="A3" s="2" t="s">
        <v>1</v>
      </c>
      <c r="B3" s="17"/>
      <c r="C3" s="18"/>
      <c r="D3" s="19"/>
      <c r="E3" s="8"/>
      <c r="F3" s="8"/>
      <c r="G3" s="9"/>
      <c r="H3" s="9"/>
      <c r="I3" s="8"/>
      <c r="J3" s="8"/>
      <c r="K3" s="8"/>
    </row>
    <row r="4" spans="1:12" ht="16.5">
      <c r="A4" s="3" t="s">
        <v>2</v>
      </c>
      <c r="B4" s="20"/>
      <c r="C4" s="21"/>
      <c r="D4" s="22">
        <f>H1*H4</f>
        <v>5000000000</v>
      </c>
      <c r="F4" s="31">
        <f>J1*E4</f>
        <v>0</v>
      </c>
      <c r="H4" s="6">
        <v>10</v>
      </c>
    </row>
    <row r="5" spans="1:12" ht="16.5">
      <c r="A5" s="3" t="s">
        <v>3</v>
      </c>
      <c r="B5" s="20"/>
      <c r="C5" s="21"/>
      <c r="D5" s="23">
        <f>H1*H5</f>
        <v>1000000000</v>
      </c>
      <c r="F5" s="31">
        <f>J1*E5</f>
        <v>0</v>
      </c>
      <c r="H5" s="6">
        <v>2</v>
      </c>
    </row>
    <row r="6" spans="1:12" ht="16.5">
      <c r="A6" s="3" t="s">
        <v>4</v>
      </c>
      <c r="B6" s="20"/>
      <c r="C6" s="21"/>
      <c r="D6" s="23">
        <f>F1*F6</f>
        <v>756900000</v>
      </c>
      <c r="E6">
        <f>29*3</f>
        <v>87</v>
      </c>
      <c r="F6" s="31">
        <f>J1*E6</f>
        <v>75.69</v>
      </c>
    </row>
    <row r="7" spans="1:12" ht="16.5">
      <c r="A7" s="3" t="s">
        <v>5</v>
      </c>
      <c r="B7" s="20"/>
      <c r="C7" s="21"/>
      <c r="D7" s="23">
        <f>G7</f>
        <v>100000000</v>
      </c>
      <c r="F7" s="31">
        <f>J1*E7</f>
        <v>0</v>
      </c>
      <c r="G7" s="6">
        <v>100000000</v>
      </c>
    </row>
    <row r="8" spans="1:12" ht="16.5">
      <c r="A8" s="3" t="s">
        <v>6</v>
      </c>
      <c r="B8" s="20"/>
      <c r="C8" s="21"/>
      <c r="D8" s="23">
        <f>G8</f>
        <v>400000000</v>
      </c>
      <c r="E8">
        <v>88</v>
      </c>
      <c r="F8" s="31"/>
      <c r="G8" s="6">
        <v>400000000</v>
      </c>
    </row>
    <row r="9" spans="1:12" ht="16.5">
      <c r="A9" s="3" t="s">
        <v>7</v>
      </c>
      <c r="B9" s="20"/>
      <c r="C9" s="21"/>
      <c r="D9" s="23">
        <f>G9</f>
        <v>3000000000</v>
      </c>
      <c r="F9" s="31">
        <f>E9*J1</f>
        <v>0</v>
      </c>
      <c r="G9" s="6">
        <f>L1*100*1000</f>
        <v>3000000000</v>
      </c>
      <c r="I9" s="4"/>
      <c r="J9" s="4"/>
    </row>
    <row r="10" spans="1:12" ht="16.5">
      <c r="A10" s="2" t="s">
        <v>8</v>
      </c>
      <c r="B10" s="24"/>
      <c r="C10" s="25"/>
      <c r="D10" s="26"/>
      <c r="E10" s="8"/>
      <c r="F10" s="8"/>
      <c r="G10" s="9"/>
      <c r="H10" s="9"/>
      <c r="I10" s="8"/>
      <c r="J10" s="8"/>
      <c r="K10" s="8"/>
    </row>
    <row r="11" spans="1:12" ht="16.5">
      <c r="A11" s="7" t="s">
        <v>50</v>
      </c>
      <c r="B11" s="20"/>
      <c r="C11" s="21"/>
      <c r="D11" s="23">
        <f>H1*H11</f>
        <v>10000000000</v>
      </c>
      <c r="H11" s="6">
        <v>20</v>
      </c>
    </row>
    <row r="12" spans="1:12" ht="16.5">
      <c r="A12" s="3" t="s">
        <v>10</v>
      </c>
      <c r="B12" s="20"/>
      <c r="C12" s="21"/>
      <c r="D12" s="23">
        <f>H1*H12</f>
        <v>2000000000</v>
      </c>
      <c r="H12" s="6">
        <v>4</v>
      </c>
    </row>
    <row r="13" spans="1:12" ht="16.5">
      <c r="A13" s="3" t="s">
        <v>11</v>
      </c>
      <c r="B13" s="20"/>
      <c r="C13" s="21"/>
      <c r="D13" s="23">
        <f>F1*F13</f>
        <v>1261500000</v>
      </c>
      <c r="E13">
        <f>29*5</f>
        <v>145</v>
      </c>
      <c r="F13" s="31">
        <f>E13*J1</f>
        <v>126.15</v>
      </c>
    </row>
    <row r="14" spans="1:12" ht="16.5">
      <c r="A14" s="3" t="s">
        <v>12</v>
      </c>
      <c r="B14" s="20"/>
      <c r="C14" s="21"/>
      <c r="D14" s="23">
        <f>G14</f>
        <v>300000000</v>
      </c>
      <c r="G14" s="6">
        <f>G7*3</f>
        <v>300000000</v>
      </c>
    </row>
    <row r="15" spans="1:12" ht="16.5">
      <c r="A15" s="3" t="s">
        <v>13</v>
      </c>
      <c r="B15" s="20"/>
      <c r="C15" s="21"/>
      <c r="D15" s="23">
        <f>G15</f>
        <v>1200000000</v>
      </c>
      <c r="E15">
        <f>E16*3</f>
        <v>264</v>
      </c>
      <c r="F15" s="31"/>
      <c r="G15" s="6">
        <f>G16*3</f>
        <v>1200000000</v>
      </c>
    </row>
    <row r="16" spans="1:12" ht="16.5">
      <c r="A16" s="3" t="s">
        <v>14</v>
      </c>
      <c r="B16" s="20"/>
      <c r="C16" s="21"/>
      <c r="D16" s="23">
        <f>G16</f>
        <v>400000000</v>
      </c>
      <c r="E16">
        <v>88</v>
      </c>
      <c r="F16" s="31"/>
      <c r="G16" s="6">
        <v>400000000</v>
      </c>
    </row>
    <row r="17" spans="1:11" ht="16.5">
      <c r="A17" s="3" t="s">
        <v>15</v>
      </c>
      <c r="B17" s="20"/>
      <c r="C17" s="21"/>
      <c r="D17" s="23">
        <f>G17</f>
        <v>6000000000</v>
      </c>
      <c r="G17" s="6">
        <f>L1*100*2000</f>
        <v>6000000000</v>
      </c>
      <c r="I17" s="4"/>
      <c r="J17" s="4"/>
    </row>
    <row r="18" spans="1:11" ht="16.5">
      <c r="A18" s="2" t="s">
        <v>16</v>
      </c>
      <c r="B18" s="24"/>
      <c r="C18" s="25"/>
      <c r="D18" s="26"/>
      <c r="E18" s="8"/>
      <c r="F18" s="8"/>
      <c r="G18" s="9"/>
      <c r="H18" s="9"/>
      <c r="I18" s="8"/>
      <c r="J18" s="8"/>
      <c r="K18" s="8"/>
    </row>
    <row r="19" spans="1:11" ht="16.5">
      <c r="A19" s="3" t="s">
        <v>17</v>
      </c>
      <c r="B19" s="20"/>
      <c r="C19" s="21"/>
      <c r="D19" s="23">
        <f>H1*H19</f>
        <v>30000000000</v>
      </c>
      <c r="H19" s="6">
        <v>60</v>
      </c>
    </row>
    <row r="20" spans="1:11" ht="16.5">
      <c r="A20" s="3" t="s">
        <v>18</v>
      </c>
      <c r="B20" s="20"/>
      <c r="C20" s="21"/>
      <c r="D20" s="23">
        <f>H1*H20</f>
        <v>40000000000</v>
      </c>
      <c r="H20" s="6">
        <v>80</v>
      </c>
    </row>
    <row r="21" spans="1:11" ht="16.5">
      <c r="A21" s="3" t="s">
        <v>19</v>
      </c>
      <c r="B21" s="20"/>
      <c r="C21" s="21"/>
      <c r="D21" s="23">
        <f>H1*H21</f>
        <v>20000000000</v>
      </c>
      <c r="H21" s="6">
        <v>40</v>
      </c>
    </row>
    <row r="22" spans="1:11" ht="16.5">
      <c r="A22" s="3" t="s">
        <v>20</v>
      </c>
      <c r="B22" s="20"/>
      <c r="C22" s="21"/>
      <c r="D22" s="23">
        <f>F22*F1</f>
        <v>2523000000</v>
      </c>
      <c r="E22">
        <f>29*10</f>
        <v>290</v>
      </c>
      <c r="F22" s="31">
        <f>E22*J1</f>
        <v>252.3</v>
      </c>
    </row>
    <row r="23" spans="1:11" ht="16.5">
      <c r="A23" s="3" t="s">
        <v>21</v>
      </c>
      <c r="B23" s="20"/>
      <c r="C23" s="21"/>
      <c r="D23" s="23">
        <f>H1*H23</f>
        <v>30000000000</v>
      </c>
      <c r="H23" s="6">
        <v>60</v>
      </c>
    </row>
    <row r="24" spans="1:11" ht="16.5">
      <c r="A24" s="3" t="s">
        <v>22</v>
      </c>
      <c r="B24" s="20"/>
      <c r="C24" s="21"/>
      <c r="D24" s="23">
        <f>G24</f>
        <v>4000000000</v>
      </c>
      <c r="E24">
        <f>E16*10</f>
        <v>880</v>
      </c>
      <c r="G24" s="6">
        <f>G16*10</f>
        <v>4000000000</v>
      </c>
    </row>
    <row r="25" spans="1:11" ht="16.5">
      <c r="A25" s="3" t="s">
        <v>23</v>
      </c>
      <c r="B25" s="20"/>
      <c r="C25" s="21"/>
      <c r="D25" s="23">
        <f>G25</f>
        <v>2000000000</v>
      </c>
      <c r="E25">
        <f>E16*5</f>
        <v>440</v>
      </c>
      <c r="G25" s="6">
        <f>G16*5</f>
        <v>2000000000</v>
      </c>
    </row>
    <row r="26" spans="1:11" ht="16.5">
      <c r="A26" s="2" t="s">
        <v>24</v>
      </c>
      <c r="B26" s="24"/>
      <c r="C26" s="25"/>
      <c r="D26" s="26"/>
      <c r="E26" s="8"/>
      <c r="F26" s="8"/>
      <c r="G26" s="9"/>
      <c r="H26" s="9"/>
      <c r="I26" s="8"/>
      <c r="J26" s="8"/>
      <c r="K26" s="8"/>
    </row>
    <row r="27" spans="1:11" ht="16.5">
      <c r="A27" s="3" t="s">
        <v>25</v>
      </c>
      <c r="B27" s="20"/>
      <c r="C27" s="21"/>
      <c r="D27" s="23">
        <f>H1*H27</f>
        <v>30000000000</v>
      </c>
      <c r="H27" s="6">
        <v>60</v>
      </c>
    </row>
    <row r="28" spans="1:11" ht="16.5">
      <c r="A28" s="3" t="s">
        <v>26</v>
      </c>
      <c r="B28" s="20"/>
      <c r="C28" s="21"/>
      <c r="D28" s="23">
        <f>H1*H28</f>
        <v>40000000000</v>
      </c>
      <c r="H28" s="6">
        <v>80</v>
      </c>
    </row>
    <row r="29" spans="1:11" ht="16.5">
      <c r="A29" s="3" t="s">
        <v>27</v>
      </c>
      <c r="B29" s="20"/>
      <c r="C29" s="21"/>
      <c r="D29" s="23">
        <f>H1*H29</f>
        <v>50000000000</v>
      </c>
      <c r="H29" s="6">
        <v>100</v>
      </c>
    </row>
    <row r="30" spans="1:11" ht="16.5">
      <c r="A30" s="3" t="s">
        <v>28</v>
      </c>
      <c r="B30" s="20"/>
      <c r="C30" s="21"/>
      <c r="D30" s="23">
        <f>F1*F30</f>
        <v>10000000000</v>
      </c>
      <c r="F30">
        <v>1000</v>
      </c>
    </row>
    <row r="31" spans="1:11" ht="16.5">
      <c r="A31" s="3" t="s">
        <v>29</v>
      </c>
      <c r="B31" s="20"/>
      <c r="C31" s="21"/>
      <c r="D31" s="23">
        <f>F1*F31</f>
        <v>10000000000</v>
      </c>
      <c r="F31">
        <v>1000</v>
      </c>
    </row>
    <row r="32" spans="1:11" ht="16.5">
      <c r="A32" s="3" t="s">
        <v>30</v>
      </c>
      <c r="B32" s="20"/>
      <c r="C32" s="21"/>
      <c r="D32" s="23">
        <f>F32*F1</f>
        <v>3784500000</v>
      </c>
      <c r="E32">
        <f>29*15</f>
        <v>435</v>
      </c>
      <c r="F32" s="31">
        <f>E32*J1</f>
        <v>378.45</v>
      </c>
    </row>
    <row r="33" spans="1:11" ht="16.5">
      <c r="A33" s="3" t="s">
        <v>31</v>
      </c>
      <c r="B33" s="20"/>
      <c r="C33" s="21"/>
      <c r="D33" s="23">
        <f>G33</f>
        <v>6000000000</v>
      </c>
      <c r="E33">
        <f>E16*15</f>
        <v>1320</v>
      </c>
      <c r="G33" s="6">
        <f>G16*15</f>
        <v>6000000000</v>
      </c>
    </row>
    <row r="34" spans="1:11" ht="16.5">
      <c r="A34" s="3" t="s">
        <v>32</v>
      </c>
      <c r="B34" s="20"/>
      <c r="C34" s="21"/>
      <c r="D34" s="23">
        <f>G34</f>
        <v>2800000000</v>
      </c>
      <c r="E34">
        <f>E16*7</f>
        <v>616</v>
      </c>
      <c r="G34" s="6">
        <f>G16*7</f>
        <v>2800000000</v>
      </c>
    </row>
    <row r="35" spans="1:11" ht="16.5">
      <c r="A35" s="2" t="s">
        <v>33</v>
      </c>
      <c r="B35" s="24"/>
      <c r="C35" s="25"/>
      <c r="D35" s="26"/>
      <c r="E35" s="8"/>
      <c r="F35" s="8"/>
      <c r="G35" s="9"/>
      <c r="H35" s="9"/>
      <c r="I35" s="8"/>
      <c r="J35" s="8"/>
      <c r="K35" s="8"/>
    </row>
    <row r="36" spans="1:11" ht="16.5">
      <c r="A36" s="3" t="s">
        <v>34</v>
      </c>
      <c r="B36" s="20"/>
      <c r="C36" s="21"/>
      <c r="D36" s="23" t="s">
        <v>58</v>
      </c>
    </row>
    <row r="37" spans="1:11" ht="16.5">
      <c r="A37" s="3" t="s">
        <v>35</v>
      </c>
      <c r="B37" s="20"/>
      <c r="C37" s="21"/>
      <c r="D37" s="23" t="s">
        <v>58</v>
      </c>
    </row>
    <row r="38" spans="1:11" ht="16.5">
      <c r="A38" s="3" t="s">
        <v>36</v>
      </c>
      <c r="B38" s="20"/>
      <c r="C38" s="21"/>
      <c r="D38" s="23">
        <f>F1*F38</f>
        <v>20000000000</v>
      </c>
      <c r="F38">
        <v>2000</v>
      </c>
    </row>
    <row r="39" spans="1:11" ht="16.5">
      <c r="A39" s="3" t="s">
        <v>37</v>
      </c>
      <c r="B39" s="20"/>
      <c r="C39" s="21"/>
      <c r="D39" s="23">
        <f>F1*F39</f>
        <v>5046000000</v>
      </c>
      <c r="E39">
        <f>29*20</f>
        <v>580</v>
      </c>
      <c r="F39" s="31">
        <f>E39*J1</f>
        <v>504.6</v>
      </c>
    </row>
    <row r="40" spans="1:11" ht="16.5">
      <c r="A40" s="3" t="s">
        <v>38</v>
      </c>
      <c r="B40" s="20"/>
      <c r="C40" s="21"/>
      <c r="D40" s="23">
        <f>G40</f>
        <v>8000000000</v>
      </c>
      <c r="E40">
        <f>E16*20</f>
        <v>1760</v>
      </c>
      <c r="G40" s="6">
        <f>G16*20</f>
        <v>8000000000</v>
      </c>
    </row>
    <row r="41" spans="1:11" ht="16.5">
      <c r="A41" s="3" t="s">
        <v>39</v>
      </c>
      <c r="B41" s="20"/>
      <c r="C41" s="21"/>
      <c r="D41" s="23">
        <f>G41</f>
        <v>4000000000</v>
      </c>
      <c r="E41">
        <f>E16*10</f>
        <v>880</v>
      </c>
      <c r="G41" s="6">
        <f>G16*10</f>
        <v>4000000000</v>
      </c>
    </row>
    <row r="42" spans="1:11">
      <c r="A42" s="8"/>
      <c r="B42" s="27"/>
      <c r="C42" s="28"/>
      <c r="D42" s="29"/>
      <c r="E42" s="8"/>
      <c r="F42" s="8"/>
      <c r="G42" s="9"/>
      <c r="H42" s="9"/>
      <c r="I42" s="8"/>
      <c r="J42" s="8"/>
      <c r="K42" s="8"/>
    </row>
    <row r="43" spans="1:11">
      <c r="B43" s="14"/>
      <c r="C43" s="15"/>
      <c r="D43" s="16"/>
    </row>
    <row r="44" spans="1:11">
      <c r="B44" s="14"/>
      <c r="C44" s="15"/>
      <c r="D44" s="16"/>
    </row>
    <row r="45" spans="1:11">
      <c r="B45" s="14"/>
      <c r="C45" s="15"/>
      <c r="D45" s="16"/>
    </row>
    <row r="46" spans="1:11">
      <c r="B46" s="14"/>
      <c r="C46" s="15"/>
      <c r="D46" s="16"/>
    </row>
    <row r="47" spans="1:11">
      <c r="B47" s="14"/>
      <c r="C47" s="15"/>
      <c r="D47" s="16"/>
    </row>
    <row r="48" spans="1:11">
      <c r="B48" s="14"/>
      <c r="C48" s="15"/>
      <c r="D48" s="16"/>
    </row>
    <row r="49" spans="2:4">
      <c r="B49" s="14"/>
      <c r="C49" s="15"/>
      <c r="D49" s="16"/>
    </row>
    <row r="50" spans="2:4">
      <c r="B50" s="14"/>
      <c r="C50" s="15"/>
      <c r="D50" s="16"/>
    </row>
    <row r="51" spans="2:4">
      <c r="B51" s="14"/>
      <c r="C51" s="15"/>
      <c r="D51" s="16"/>
    </row>
    <row r="52" spans="2:4">
      <c r="B52" s="14"/>
      <c r="C52" s="15"/>
      <c r="D52" s="16"/>
    </row>
    <row r="53" spans="2:4">
      <c r="B53" s="14"/>
      <c r="C53" s="15"/>
      <c r="D53" s="16"/>
    </row>
    <row r="54" spans="2:4">
      <c r="B54" s="14"/>
      <c r="C54" s="15"/>
      <c r="D54" s="16"/>
    </row>
    <row r="55" spans="2:4">
      <c r="B55" s="14"/>
      <c r="C55" s="15"/>
      <c r="D55" s="16"/>
    </row>
    <row r="56" spans="2:4">
      <c r="B56" s="14"/>
      <c r="C56" s="15"/>
      <c r="D56" s="16"/>
    </row>
    <row r="57" spans="2:4">
      <c r="B57" s="14"/>
      <c r="C57" s="15"/>
      <c r="D57" s="16"/>
    </row>
    <row r="58" spans="2:4">
      <c r="B58" s="14"/>
      <c r="C58" s="15"/>
      <c r="D58" s="16"/>
    </row>
    <row r="59" spans="2:4">
      <c r="B59" s="14"/>
      <c r="C59" s="15"/>
      <c r="D59" s="16"/>
    </row>
    <row r="60" spans="2:4">
      <c r="B60" s="14"/>
      <c r="C60" s="15"/>
      <c r="D60" s="16"/>
    </row>
    <row r="61" spans="2:4">
      <c r="B61" s="14"/>
      <c r="C61" s="15"/>
      <c r="D61" s="16"/>
    </row>
    <row r="62" spans="2:4">
      <c r="B62" s="14"/>
      <c r="C62" s="15"/>
      <c r="D62" s="16"/>
    </row>
    <row r="63" spans="2:4">
      <c r="B63" s="14"/>
      <c r="C63" s="15"/>
      <c r="D63" s="16"/>
    </row>
    <row r="64" spans="2:4">
      <c r="B64" s="14"/>
      <c r="C64" s="15"/>
      <c r="D64" s="16"/>
    </row>
    <row r="65" spans="2:4">
      <c r="B65" s="14"/>
      <c r="C65" s="15"/>
      <c r="D65" s="16"/>
    </row>
    <row r="66" spans="2:4">
      <c r="B66" s="14"/>
      <c r="C66" s="15"/>
      <c r="D66" s="16"/>
    </row>
    <row r="67" spans="2:4">
      <c r="B67" s="14"/>
      <c r="C67" s="15"/>
      <c r="D67" s="16"/>
    </row>
    <row r="68" spans="2:4">
      <c r="B68" s="14"/>
      <c r="C68" s="15"/>
      <c r="D68" s="16"/>
    </row>
    <row r="69" spans="2:4">
      <c r="B69" s="14"/>
      <c r="C69" s="15"/>
      <c r="D69" s="16"/>
    </row>
    <row r="70" spans="2:4">
      <c r="B70" s="14"/>
      <c r="C70" s="15"/>
      <c r="D70" s="16"/>
    </row>
    <row r="71" spans="2:4">
      <c r="B71" s="14"/>
      <c r="C71" s="15"/>
      <c r="D71" s="16"/>
    </row>
    <row r="72" spans="2:4">
      <c r="B72" s="14"/>
      <c r="C72" s="15"/>
      <c r="D72" s="16"/>
    </row>
    <row r="73" spans="2:4">
      <c r="B73" s="14"/>
      <c r="C73" s="15"/>
      <c r="D73" s="16"/>
    </row>
    <row r="74" spans="2:4">
      <c r="B74" s="14"/>
      <c r="C74" s="15"/>
      <c r="D74" s="16"/>
    </row>
    <row r="75" spans="2:4">
      <c r="B75" s="14"/>
      <c r="C75" s="15"/>
      <c r="D75" s="16"/>
    </row>
    <row r="76" spans="2:4">
      <c r="B76" s="14"/>
      <c r="C76" s="15"/>
      <c r="D76" s="16"/>
    </row>
    <row r="77" spans="2:4">
      <c r="B77" s="14"/>
      <c r="C77" s="15"/>
      <c r="D77" s="16"/>
    </row>
    <row r="78" spans="2:4">
      <c r="B78" s="14"/>
      <c r="C78" s="15"/>
      <c r="D78" s="16"/>
    </row>
  </sheetData>
  <phoneticPr fontId="5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41"/>
  <sheetViews>
    <sheetView workbookViewId="0">
      <selection activeCell="B17" sqref="B17"/>
    </sheetView>
  </sheetViews>
  <sheetFormatPr defaultRowHeight="15.75"/>
  <cols>
    <col min="2" max="2" width="9.140625" customWidth="1"/>
  </cols>
  <sheetData>
    <row r="2" spans="1:1">
      <c r="A2" s="1" t="s">
        <v>0</v>
      </c>
    </row>
    <row r="3" spans="1:1">
      <c r="A3" s="2" t="s">
        <v>1</v>
      </c>
    </row>
    <row r="4" spans="1:1">
      <c r="A4" s="3" t="s">
        <v>2</v>
      </c>
    </row>
    <row r="5" spans="1:1">
      <c r="A5" s="3" t="s">
        <v>3</v>
      </c>
    </row>
    <row r="6" spans="1:1">
      <c r="A6" s="3" t="s">
        <v>4</v>
      </c>
    </row>
    <row r="7" spans="1:1">
      <c r="A7" s="3" t="s">
        <v>5</v>
      </c>
    </row>
    <row r="8" spans="1:1">
      <c r="A8" s="3" t="s">
        <v>6</v>
      </c>
    </row>
    <row r="9" spans="1:1">
      <c r="A9" s="3" t="s">
        <v>7</v>
      </c>
    </row>
    <row r="10" spans="1:1">
      <c r="A10" s="2" t="s">
        <v>8</v>
      </c>
    </row>
    <row r="11" spans="1:1">
      <c r="A11" s="3" t="s">
        <v>9</v>
      </c>
    </row>
    <row r="12" spans="1:1">
      <c r="A12" s="3" t="s">
        <v>10</v>
      </c>
    </row>
    <row r="13" spans="1:1">
      <c r="A13" s="3" t="s">
        <v>11</v>
      </c>
    </row>
    <row r="14" spans="1:1">
      <c r="A14" s="3" t="s">
        <v>12</v>
      </c>
    </row>
    <row r="15" spans="1:1">
      <c r="A15" s="3" t="s">
        <v>13</v>
      </c>
    </row>
    <row r="16" spans="1:1">
      <c r="A16" s="3" t="s">
        <v>14</v>
      </c>
    </row>
    <row r="17" spans="1:1">
      <c r="A17" s="3" t="s">
        <v>15</v>
      </c>
    </row>
    <row r="18" spans="1:1">
      <c r="A18" s="2" t="s">
        <v>16</v>
      </c>
    </row>
    <row r="19" spans="1:1">
      <c r="A19" s="3" t="s">
        <v>17</v>
      </c>
    </row>
    <row r="20" spans="1:1">
      <c r="A20" s="3" t="s">
        <v>18</v>
      </c>
    </row>
    <row r="21" spans="1:1">
      <c r="A21" s="3" t="s">
        <v>19</v>
      </c>
    </row>
    <row r="22" spans="1:1">
      <c r="A22" s="3" t="s">
        <v>20</v>
      </c>
    </row>
    <row r="23" spans="1:1">
      <c r="A23" s="3" t="s">
        <v>21</v>
      </c>
    </row>
    <row r="24" spans="1:1">
      <c r="A24" s="3" t="s">
        <v>22</v>
      </c>
    </row>
    <row r="25" spans="1:1">
      <c r="A25" s="3" t="s">
        <v>23</v>
      </c>
    </row>
    <row r="26" spans="1:1">
      <c r="A26" s="2" t="s">
        <v>24</v>
      </c>
    </row>
    <row r="27" spans="1:1">
      <c r="A27" s="3" t="s">
        <v>25</v>
      </c>
    </row>
    <row r="28" spans="1:1">
      <c r="A28" s="3" t="s">
        <v>26</v>
      </c>
    </row>
    <row r="29" spans="1:1">
      <c r="A29" s="3" t="s">
        <v>27</v>
      </c>
    </row>
    <row r="30" spans="1:1">
      <c r="A30" s="3" t="s">
        <v>28</v>
      </c>
    </row>
    <row r="31" spans="1:1">
      <c r="A31" s="3" t="s">
        <v>29</v>
      </c>
    </row>
    <row r="32" spans="1:1">
      <c r="A32" s="3" t="s">
        <v>30</v>
      </c>
    </row>
    <row r="33" spans="1:1">
      <c r="A33" s="3" t="s">
        <v>31</v>
      </c>
    </row>
    <row r="34" spans="1:1">
      <c r="A34" s="3" t="s">
        <v>32</v>
      </c>
    </row>
    <row r="35" spans="1:1">
      <c r="A35" s="2" t="s">
        <v>33</v>
      </c>
    </row>
    <row r="36" spans="1:1">
      <c r="A36" s="3" t="s">
        <v>34</v>
      </c>
    </row>
    <row r="37" spans="1:1">
      <c r="A37" s="3" t="s">
        <v>35</v>
      </c>
    </row>
    <row r="38" spans="1:1">
      <c r="A38" s="3" t="s">
        <v>36</v>
      </c>
    </row>
    <row r="39" spans="1:1">
      <c r="A39" s="3" t="s">
        <v>37</v>
      </c>
    </row>
    <row r="40" spans="1:1">
      <c r="A40" s="3" t="s">
        <v>38</v>
      </c>
    </row>
    <row r="41" spans="1:1">
      <c r="A41" s="3" t="s">
        <v>39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D0B60-138E-4D2C-85A0-0838BC82D96B}">
  <dimension ref="A1:K78"/>
  <sheetViews>
    <sheetView tabSelected="1" topLeftCell="A7" zoomScale="85" zoomScaleNormal="85" workbookViewId="0">
      <selection activeCell="G2" sqref="G2"/>
    </sheetView>
  </sheetViews>
  <sheetFormatPr defaultRowHeight="15.75"/>
  <cols>
    <col min="1" max="1" width="40.5703125" customWidth="1"/>
    <col min="2" max="2" width="19.85546875" customWidth="1"/>
    <col min="3" max="3" width="18.5703125" style="5" customWidth="1"/>
    <col min="4" max="4" width="18.5703125" style="10" customWidth="1"/>
    <col min="5" max="5" width="16.7109375" customWidth="1"/>
    <col min="6" max="6" width="18.28515625" customWidth="1"/>
    <col min="7" max="8" width="18.28515625" style="6" customWidth="1"/>
    <col min="9" max="10" width="18.28515625" customWidth="1"/>
    <col min="11" max="11" width="18.140625" customWidth="1"/>
  </cols>
  <sheetData>
    <row r="1" spans="1:11">
      <c r="B1" t="s">
        <v>48</v>
      </c>
      <c r="C1" s="5" t="s">
        <v>49</v>
      </c>
      <c r="D1" s="36" t="s">
        <v>57</v>
      </c>
      <c r="E1" s="37" t="s">
        <v>59</v>
      </c>
      <c r="F1" s="6"/>
      <c r="I1" s="6"/>
      <c r="J1" s="30"/>
      <c r="K1" s="6"/>
    </row>
    <row r="2" spans="1:11" ht="16.5">
      <c r="A2" s="1" t="s">
        <v>0</v>
      </c>
      <c r="B2" s="11" t="s">
        <v>52</v>
      </c>
      <c r="C2" s="12" t="s">
        <v>52</v>
      </c>
      <c r="D2" s="38">
        <v>46291</v>
      </c>
      <c r="E2" s="39">
        <v>10000000</v>
      </c>
    </row>
    <row r="3" spans="1:11" ht="16.5">
      <c r="A3" s="2" t="s">
        <v>1</v>
      </c>
      <c r="B3" s="24"/>
      <c r="C3" s="25"/>
      <c r="D3" s="26"/>
      <c r="E3" s="32"/>
      <c r="F3" s="32"/>
      <c r="G3" s="32"/>
      <c r="H3" s="32"/>
      <c r="I3" s="32"/>
      <c r="J3" s="32"/>
      <c r="K3" s="32"/>
    </row>
    <row r="4" spans="1:11" ht="16.5">
      <c r="A4" s="3" t="s">
        <v>2</v>
      </c>
      <c r="B4" s="20">
        <f>MIN(D4:K4)</f>
        <v>607753125</v>
      </c>
      <c r="C4" s="21">
        <f>MAX(D4:K4)</f>
        <v>1276281562</v>
      </c>
      <c r="D4" s="22">
        <v>607753125</v>
      </c>
      <c r="E4" s="33">
        <v>840000000</v>
      </c>
      <c r="F4" s="33">
        <v>804057383</v>
      </c>
      <c r="G4" s="33">
        <v>1000000000</v>
      </c>
      <c r="H4" s="33">
        <v>738727721</v>
      </c>
      <c r="I4" s="33">
        <v>1276281562</v>
      </c>
      <c r="J4" s="33"/>
      <c r="K4" s="33"/>
    </row>
    <row r="5" spans="1:11" ht="16.5">
      <c r="A5" s="3" t="s">
        <v>3</v>
      </c>
      <c r="B5" s="20">
        <f t="shared" ref="B5:B41" si="0">MIN(D5:K5)</f>
        <v>1039464085</v>
      </c>
      <c r="C5" s="21">
        <f t="shared" ref="C5:C41" si="1">MAX(D5:K5)</f>
        <v>1039464085</v>
      </c>
      <c r="D5" s="23">
        <v>1039464085</v>
      </c>
      <c r="E5" s="33"/>
      <c r="F5" s="33"/>
      <c r="G5" s="33"/>
      <c r="H5" s="33"/>
      <c r="I5" s="33"/>
      <c r="J5" s="33"/>
      <c r="K5" s="33"/>
    </row>
    <row r="6" spans="1:11" ht="16.5">
      <c r="A6" s="3" t="s">
        <v>4</v>
      </c>
      <c r="B6" s="20">
        <f t="shared" si="0"/>
        <v>281420083</v>
      </c>
      <c r="C6" s="21">
        <f t="shared" si="1"/>
        <v>893397093</v>
      </c>
      <c r="D6" s="23">
        <v>661500000</v>
      </c>
      <c r="E6" s="33">
        <v>281420083</v>
      </c>
      <c r="F6" s="33">
        <v>893397093</v>
      </c>
      <c r="G6" s="33"/>
      <c r="H6" s="33"/>
      <c r="I6" s="33"/>
      <c r="J6" s="33"/>
      <c r="K6" s="33"/>
    </row>
    <row r="7" spans="1:11" ht="16.5">
      <c r="A7" s="3" t="s">
        <v>5</v>
      </c>
      <c r="B7" s="20">
        <f t="shared" si="0"/>
        <v>252000000</v>
      </c>
      <c r="C7" s="21">
        <f t="shared" si="1"/>
        <v>252000000</v>
      </c>
      <c r="D7" s="23">
        <v>252000000</v>
      </c>
      <c r="E7" s="33"/>
      <c r="F7" s="33"/>
      <c r="G7" s="33"/>
      <c r="H7" s="33"/>
      <c r="I7" s="33"/>
      <c r="J7" s="33"/>
      <c r="K7" s="33"/>
    </row>
    <row r="8" spans="1:11" ht="16.5">
      <c r="A8" s="3" t="s">
        <v>6</v>
      </c>
      <c r="B8" s="20">
        <f t="shared" si="0"/>
        <v>0</v>
      </c>
      <c r="C8" s="21">
        <f t="shared" si="1"/>
        <v>0</v>
      </c>
      <c r="D8" s="23"/>
      <c r="E8" s="33"/>
      <c r="F8" s="33"/>
      <c r="G8" s="33"/>
      <c r="H8" s="33"/>
      <c r="I8" s="33"/>
      <c r="J8" s="33"/>
      <c r="K8" s="33"/>
    </row>
    <row r="9" spans="1:11" ht="16.5">
      <c r="A9" s="3" t="s">
        <v>7</v>
      </c>
      <c r="B9" s="20">
        <f t="shared" si="0"/>
        <v>422130125</v>
      </c>
      <c r="C9" s="21">
        <f t="shared" si="1"/>
        <v>1100000000</v>
      </c>
      <c r="D9" s="23">
        <v>422130125</v>
      </c>
      <c r="E9" s="33">
        <v>1100000000</v>
      </c>
      <c r="F9" s="33"/>
      <c r="G9" s="33"/>
      <c r="H9" s="33"/>
      <c r="I9" s="33"/>
      <c r="J9" s="33"/>
      <c r="K9" s="33"/>
    </row>
    <row r="10" spans="1:11" ht="16.5">
      <c r="A10" s="2" t="s">
        <v>8</v>
      </c>
      <c r="B10" s="34"/>
      <c r="C10" s="35"/>
      <c r="D10" s="26"/>
      <c r="E10" s="32"/>
      <c r="F10" s="32"/>
      <c r="G10" s="32"/>
      <c r="H10" s="32"/>
      <c r="I10" s="32"/>
      <c r="J10" s="32"/>
      <c r="K10" s="32"/>
    </row>
    <row r="11" spans="1:11" ht="16.5">
      <c r="A11" s="7" t="s">
        <v>50</v>
      </c>
      <c r="B11" s="20">
        <f t="shared" si="0"/>
        <v>0</v>
      </c>
      <c r="C11" s="21">
        <f t="shared" si="1"/>
        <v>0</v>
      </c>
      <c r="D11" s="23"/>
      <c r="E11" s="33"/>
      <c r="F11" s="33"/>
      <c r="G11" s="33"/>
      <c r="H11" s="33"/>
      <c r="I11" s="33"/>
      <c r="J11" s="33"/>
      <c r="K11" s="33"/>
    </row>
    <row r="12" spans="1:11" ht="16.5">
      <c r="A12" s="3" t="s">
        <v>10</v>
      </c>
      <c r="B12" s="20">
        <f t="shared" si="0"/>
        <v>525000000</v>
      </c>
      <c r="C12" s="21">
        <f t="shared" si="1"/>
        <v>670000000</v>
      </c>
      <c r="D12" s="23">
        <v>525000000</v>
      </c>
      <c r="E12" s="33">
        <v>670000000</v>
      </c>
      <c r="F12" s="33"/>
      <c r="G12" s="33"/>
      <c r="H12" s="33"/>
      <c r="I12" s="33"/>
      <c r="J12" s="33"/>
      <c r="K12" s="33"/>
    </row>
    <row r="13" spans="1:11" ht="16.5">
      <c r="A13" s="3" t="s">
        <v>11</v>
      </c>
      <c r="B13" s="20">
        <f t="shared" si="0"/>
        <v>600000000</v>
      </c>
      <c r="C13" s="21">
        <f t="shared" si="1"/>
        <v>1215506250</v>
      </c>
      <c r="D13" s="23">
        <v>600000000</v>
      </c>
      <c r="E13" s="33">
        <v>1102500000</v>
      </c>
      <c r="F13" s="33">
        <v>1102500000</v>
      </c>
      <c r="G13" s="33">
        <v>1157625000</v>
      </c>
      <c r="H13" s="33">
        <v>1215506250</v>
      </c>
      <c r="I13" s="33"/>
      <c r="J13" s="33"/>
      <c r="K13" s="33"/>
    </row>
    <row r="14" spans="1:11" ht="16.5">
      <c r="A14" s="3" t="s">
        <v>12</v>
      </c>
      <c r="B14" s="20">
        <f t="shared" si="0"/>
        <v>703550211</v>
      </c>
      <c r="C14" s="21">
        <f t="shared" si="1"/>
        <v>1215506250</v>
      </c>
      <c r="D14" s="23">
        <v>703550211</v>
      </c>
      <c r="E14" s="33">
        <v>765768937</v>
      </c>
      <c r="F14" s="33">
        <v>1215506250</v>
      </c>
      <c r="G14" s="33"/>
      <c r="H14" s="33"/>
      <c r="I14" s="33"/>
      <c r="J14" s="33"/>
      <c r="K14" s="33"/>
    </row>
    <row r="15" spans="1:11" ht="16.5">
      <c r="A15" s="3" t="s">
        <v>13</v>
      </c>
      <c r="B15" s="20">
        <f t="shared" si="0"/>
        <v>0</v>
      </c>
      <c r="C15" s="21">
        <f t="shared" si="1"/>
        <v>0</v>
      </c>
      <c r="D15" s="23"/>
      <c r="E15" s="33"/>
      <c r="F15" s="33"/>
      <c r="G15" s="33"/>
      <c r="H15" s="33"/>
      <c r="I15" s="33"/>
      <c r="J15" s="33"/>
      <c r="K15" s="33"/>
    </row>
    <row r="16" spans="1:11" ht="16.5">
      <c r="A16" s="3" t="s">
        <v>14</v>
      </c>
      <c r="B16" s="20">
        <f t="shared" si="0"/>
        <v>15000000</v>
      </c>
      <c r="C16" s="21">
        <f t="shared" si="1"/>
        <v>330750000</v>
      </c>
      <c r="D16" s="23">
        <v>100000000</v>
      </c>
      <c r="E16" s="33">
        <v>15000000</v>
      </c>
      <c r="F16" s="33">
        <v>105000000</v>
      </c>
      <c r="G16" s="33">
        <v>330750000</v>
      </c>
      <c r="H16" s="33">
        <v>100000000</v>
      </c>
      <c r="I16" s="33">
        <v>26250000</v>
      </c>
      <c r="J16" s="33"/>
      <c r="K16" s="33"/>
    </row>
    <row r="17" spans="1:11" ht="16.5">
      <c r="A17" s="3" t="s">
        <v>15</v>
      </c>
      <c r="B17" s="20">
        <f t="shared" si="0"/>
        <v>864388452</v>
      </c>
      <c r="C17" s="21">
        <f t="shared" si="1"/>
        <v>864388452</v>
      </c>
      <c r="D17" s="23">
        <v>864388452</v>
      </c>
      <c r="E17" s="33"/>
      <c r="F17" s="33"/>
      <c r="G17" s="33"/>
      <c r="H17" s="33"/>
      <c r="I17" s="33"/>
      <c r="J17" s="33"/>
      <c r="K17" s="33"/>
    </row>
    <row r="18" spans="1:11" ht="16.5">
      <c r="A18" s="2" t="s">
        <v>16</v>
      </c>
      <c r="B18" s="34"/>
      <c r="C18" s="35"/>
      <c r="D18" s="26"/>
      <c r="E18" s="32"/>
      <c r="F18" s="32"/>
      <c r="G18" s="32"/>
      <c r="H18" s="32"/>
      <c r="I18" s="32"/>
      <c r="J18" s="32"/>
      <c r="K18" s="32"/>
    </row>
    <row r="19" spans="1:11" ht="16.5">
      <c r="A19" s="3" t="s">
        <v>17</v>
      </c>
      <c r="B19" s="20">
        <f t="shared" si="0"/>
        <v>0</v>
      </c>
      <c r="C19" s="21">
        <f t="shared" si="1"/>
        <v>0</v>
      </c>
      <c r="D19" s="23"/>
      <c r="E19" s="33"/>
      <c r="F19" s="33"/>
      <c r="G19" s="33"/>
      <c r="H19" s="33"/>
      <c r="I19" s="33"/>
      <c r="J19" s="33"/>
      <c r="K19" s="33"/>
    </row>
    <row r="20" spans="1:11" ht="16.5">
      <c r="A20" s="3" t="s">
        <v>18</v>
      </c>
      <c r="B20" s="20">
        <f t="shared" si="0"/>
        <v>0</v>
      </c>
      <c r="C20" s="21">
        <f t="shared" si="1"/>
        <v>0</v>
      </c>
      <c r="D20" s="23"/>
      <c r="E20" s="33"/>
      <c r="F20" s="33"/>
      <c r="G20" s="33"/>
      <c r="H20" s="33"/>
      <c r="I20" s="33"/>
      <c r="J20" s="33"/>
      <c r="K20" s="33"/>
    </row>
    <row r="21" spans="1:11" ht="16.5">
      <c r="A21" s="3" t="s">
        <v>19</v>
      </c>
      <c r="B21" s="20">
        <f t="shared" si="0"/>
        <v>2205000000</v>
      </c>
      <c r="C21" s="21">
        <f t="shared" si="1"/>
        <v>2205000000</v>
      </c>
      <c r="D21" s="23">
        <v>2205000000</v>
      </c>
      <c r="E21" s="33"/>
      <c r="F21" s="33"/>
      <c r="G21" s="33"/>
      <c r="H21" s="33"/>
      <c r="I21" s="33"/>
      <c r="J21" s="33"/>
      <c r="K21" s="33"/>
    </row>
    <row r="22" spans="1:11" ht="16.5">
      <c r="A22" s="3" t="s">
        <v>20</v>
      </c>
      <c r="B22" s="20">
        <f t="shared" si="0"/>
        <v>3000000000</v>
      </c>
      <c r="C22" s="21">
        <f t="shared" si="1"/>
        <v>3000000000</v>
      </c>
      <c r="D22" s="23">
        <v>3000000000</v>
      </c>
      <c r="E22" s="33"/>
      <c r="F22" s="33"/>
      <c r="G22" s="33"/>
      <c r="H22" s="33"/>
      <c r="I22" s="33"/>
      <c r="J22" s="33"/>
      <c r="K22" s="33"/>
    </row>
    <row r="23" spans="1:11" ht="16.5">
      <c r="A23" s="3" t="s">
        <v>21</v>
      </c>
      <c r="B23" s="20">
        <f t="shared" si="0"/>
        <v>0</v>
      </c>
      <c r="C23" s="21">
        <f t="shared" si="1"/>
        <v>0</v>
      </c>
      <c r="D23" s="23"/>
      <c r="E23" s="33"/>
      <c r="F23" s="33"/>
      <c r="G23" s="33"/>
      <c r="H23" s="33"/>
      <c r="I23" s="33"/>
      <c r="J23" s="33"/>
      <c r="K23" s="33"/>
    </row>
    <row r="24" spans="1:11" ht="16.5">
      <c r="A24" s="3" t="s">
        <v>22</v>
      </c>
      <c r="B24" s="20">
        <f t="shared" si="0"/>
        <v>0</v>
      </c>
      <c r="C24" s="21">
        <f t="shared" si="1"/>
        <v>0</v>
      </c>
      <c r="D24" s="23"/>
      <c r="E24" s="33"/>
      <c r="F24" s="33"/>
      <c r="G24" s="33"/>
      <c r="H24" s="33"/>
      <c r="I24" s="33"/>
      <c r="J24" s="33"/>
      <c r="K24" s="33"/>
    </row>
    <row r="25" spans="1:11" ht="16.5">
      <c r="A25" s="3" t="s">
        <v>23</v>
      </c>
      <c r="B25" s="20">
        <f t="shared" si="0"/>
        <v>1575000000</v>
      </c>
      <c r="C25" s="21">
        <f t="shared" si="1"/>
        <v>1575000000</v>
      </c>
      <c r="D25" s="23">
        <v>1575000000</v>
      </c>
      <c r="E25" s="33"/>
      <c r="F25" s="33"/>
      <c r="G25" s="33"/>
      <c r="H25" s="33"/>
      <c r="I25" s="33"/>
      <c r="J25" s="33"/>
      <c r="K25" s="33"/>
    </row>
    <row r="26" spans="1:11" ht="16.5">
      <c r="A26" s="2" t="s">
        <v>24</v>
      </c>
      <c r="B26" s="34"/>
      <c r="C26" s="35"/>
      <c r="D26" s="26"/>
      <c r="E26" s="32"/>
      <c r="F26" s="32"/>
      <c r="G26" s="32"/>
      <c r="H26" s="32"/>
      <c r="I26" s="32"/>
      <c r="J26" s="32"/>
      <c r="K26" s="32"/>
    </row>
    <row r="27" spans="1:11" ht="16.5">
      <c r="A27" s="3" t="s">
        <v>25</v>
      </c>
      <c r="B27" s="20">
        <f t="shared" si="0"/>
        <v>18573083924</v>
      </c>
      <c r="C27" s="21">
        <f t="shared" si="1"/>
        <v>26532977040</v>
      </c>
      <c r="D27" s="23">
        <v>26532977040</v>
      </c>
      <c r="E27" s="33">
        <v>18573083924</v>
      </c>
      <c r="F27" s="33"/>
      <c r="G27" s="33"/>
      <c r="H27" s="33"/>
      <c r="I27" s="33"/>
      <c r="J27" s="33"/>
      <c r="K27" s="33"/>
    </row>
    <row r="28" spans="1:11" ht="16.5">
      <c r="A28" s="3" t="s">
        <v>26</v>
      </c>
      <c r="B28" s="20">
        <f t="shared" si="0"/>
        <v>0</v>
      </c>
      <c r="C28" s="21">
        <f t="shared" si="1"/>
        <v>0</v>
      </c>
      <c r="D28" s="23"/>
      <c r="E28" s="33"/>
      <c r="F28" s="33"/>
      <c r="G28" s="33"/>
      <c r="H28" s="33"/>
      <c r="I28" s="33"/>
      <c r="J28" s="33"/>
      <c r="K28" s="33"/>
    </row>
    <row r="29" spans="1:11" ht="16.5">
      <c r="A29" s="3" t="s">
        <v>27</v>
      </c>
      <c r="B29" s="20">
        <f t="shared" si="0"/>
        <v>0</v>
      </c>
      <c r="C29" s="21">
        <f t="shared" si="1"/>
        <v>0</v>
      </c>
      <c r="D29" s="23"/>
      <c r="E29" s="33"/>
      <c r="F29" s="33"/>
      <c r="G29" s="33"/>
      <c r="H29" s="33"/>
      <c r="I29" s="33"/>
      <c r="J29" s="33"/>
      <c r="K29" s="33"/>
    </row>
    <row r="30" spans="1:11" ht="16.5">
      <c r="A30" s="3" t="s">
        <v>28</v>
      </c>
      <c r="B30" s="20">
        <f t="shared" si="0"/>
        <v>0</v>
      </c>
      <c r="C30" s="21">
        <f t="shared" si="1"/>
        <v>0</v>
      </c>
      <c r="D30" s="23"/>
      <c r="E30" s="33"/>
      <c r="F30" s="33"/>
      <c r="G30" s="33"/>
      <c r="H30" s="33"/>
      <c r="I30" s="33"/>
      <c r="J30" s="33"/>
      <c r="K30" s="33"/>
    </row>
    <row r="31" spans="1:11" ht="16.5">
      <c r="A31" s="3" t="s">
        <v>29</v>
      </c>
      <c r="B31" s="20">
        <f t="shared" si="0"/>
        <v>0</v>
      </c>
      <c r="C31" s="21">
        <f t="shared" si="1"/>
        <v>0</v>
      </c>
      <c r="D31" s="23"/>
      <c r="E31" s="33"/>
      <c r="F31" s="33"/>
      <c r="G31" s="33"/>
      <c r="H31" s="33"/>
      <c r="I31" s="33"/>
      <c r="J31" s="33"/>
      <c r="K31" s="33"/>
    </row>
    <row r="32" spans="1:11" ht="16.5">
      <c r="A32" s="3" t="s">
        <v>30</v>
      </c>
      <c r="B32" s="20">
        <f t="shared" si="0"/>
        <v>0</v>
      </c>
      <c r="C32" s="21">
        <f t="shared" si="1"/>
        <v>0</v>
      </c>
      <c r="D32" s="23"/>
      <c r="E32" s="33"/>
      <c r="F32" s="33"/>
      <c r="G32" s="33"/>
      <c r="H32" s="33"/>
      <c r="I32" s="33"/>
      <c r="J32" s="33"/>
      <c r="K32" s="33"/>
    </row>
    <row r="33" spans="1:11" ht="16.5">
      <c r="A33" s="3" t="s">
        <v>31</v>
      </c>
      <c r="B33" s="20">
        <f t="shared" si="0"/>
        <v>0</v>
      </c>
      <c r="C33" s="21">
        <f t="shared" si="1"/>
        <v>0</v>
      </c>
      <c r="D33" s="23"/>
      <c r="E33" s="33"/>
      <c r="F33" s="33"/>
      <c r="G33" s="33"/>
      <c r="H33" s="33"/>
      <c r="I33" s="33"/>
      <c r="J33" s="33"/>
      <c r="K33" s="33"/>
    </row>
    <row r="34" spans="1:11" ht="16.5">
      <c r="A34" s="3" t="s">
        <v>32</v>
      </c>
      <c r="B34" s="20">
        <f t="shared" si="0"/>
        <v>0</v>
      </c>
      <c r="C34" s="21">
        <f t="shared" si="1"/>
        <v>0</v>
      </c>
      <c r="D34" s="23"/>
      <c r="E34" s="33"/>
      <c r="F34" s="33"/>
      <c r="G34" s="33"/>
      <c r="H34" s="33"/>
      <c r="I34" s="33"/>
      <c r="J34" s="33"/>
      <c r="K34" s="33"/>
    </row>
    <row r="35" spans="1:11" ht="16.5">
      <c r="A35" s="2" t="s">
        <v>33</v>
      </c>
      <c r="B35" s="34"/>
      <c r="C35" s="35"/>
      <c r="D35" s="26"/>
      <c r="E35" s="32"/>
      <c r="F35" s="32"/>
      <c r="G35" s="32"/>
      <c r="H35" s="32"/>
      <c r="I35" s="32"/>
      <c r="J35" s="32"/>
      <c r="K35" s="32"/>
    </row>
    <row r="36" spans="1:11" ht="16.5">
      <c r="A36" s="3" t="s">
        <v>34</v>
      </c>
      <c r="B36" s="20">
        <f t="shared" si="0"/>
        <v>0</v>
      </c>
      <c r="C36" s="21">
        <f t="shared" si="1"/>
        <v>0</v>
      </c>
      <c r="D36" s="23"/>
      <c r="E36" s="33"/>
      <c r="F36" s="33"/>
      <c r="G36" s="33"/>
      <c r="H36" s="33"/>
      <c r="I36" s="33"/>
      <c r="J36" s="33"/>
      <c r="K36" s="33"/>
    </row>
    <row r="37" spans="1:11" ht="16.5">
      <c r="A37" s="3" t="s">
        <v>35</v>
      </c>
      <c r="B37" s="20">
        <f t="shared" si="0"/>
        <v>0</v>
      </c>
      <c r="C37" s="21">
        <f t="shared" si="1"/>
        <v>0</v>
      </c>
      <c r="D37" s="23"/>
      <c r="E37" s="33"/>
      <c r="F37" s="33"/>
      <c r="G37" s="33"/>
      <c r="H37" s="33"/>
      <c r="I37" s="33"/>
      <c r="J37" s="33"/>
      <c r="K37" s="33"/>
    </row>
    <row r="38" spans="1:11" ht="16.5">
      <c r="A38" s="3" t="s">
        <v>36</v>
      </c>
      <c r="B38" s="20">
        <f t="shared" si="0"/>
        <v>0</v>
      </c>
      <c r="C38" s="21">
        <f t="shared" si="1"/>
        <v>0</v>
      </c>
      <c r="D38" s="23"/>
      <c r="E38" s="33"/>
      <c r="F38" s="33"/>
      <c r="G38" s="33"/>
      <c r="H38" s="33"/>
      <c r="I38" s="33"/>
      <c r="J38" s="33"/>
      <c r="K38" s="33"/>
    </row>
    <row r="39" spans="1:11" ht="16.5">
      <c r="A39" s="3" t="s">
        <v>37</v>
      </c>
      <c r="B39" s="20">
        <f t="shared" si="0"/>
        <v>0</v>
      </c>
      <c r="C39" s="21">
        <f t="shared" si="1"/>
        <v>0</v>
      </c>
      <c r="D39" s="23"/>
      <c r="E39" s="33"/>
      <c r="F39" s="33"/>
      <c r="G39" s="33"/>
      <c r="H39" s="33"/>
      <c r="I39" s="33"/>
      <c r="J39" s="33"/>
      <c r="K39" s="33"/>
    </row>
    <row r="40" spans="1:11" ht="16.5">
      <c r="A40" s="3" t="s">
        <v>38</v>
      </c>
      <c r="B40" s="20">
        <f t="shared" si="0"/>
        <v>0</v>
      </c>
      <c r="C40" s="21">
        <f t="shared" si="1"/>
        <v>0</v>
      </c>
      <c r="D40" s="23"/>
      <c r="E40" s="33"/>
      <c r="F40" s="33"/>
      <c r="G40" s="33"/>
      <c r="H40" s="33"/>
      <c r="I40" s="33"/>
      <c r="J40" s="33"/>
      <c r="K40" s="33"/>
    </row>
    <row r="41" spans="1:11" ht="16.5">
      <c r="A41" s="3" t="s">
        <v>39</v>
      </c>
      <c r="B41" s="20">
        <f t="shared" si="0"/>
        <v>150000000</v>
      </c>
      <c r="C41" s="21">
        <f t="shared" si="1"/>
        <v>3307500000</v>
      </c>
      <c r="D41" s="23">
        <f>G41</f>
        <v>3307500000</v>
      </c>
      <c r="E41" s="33">
        <f>E16*10</f>
        <v>150000000</v>
      </c>
      <c r="F41" s="33"/>
      <c r="G41" s="33">
        <f>G16*10</f>
        <v>3307500000</v>
      </c>
      <c r="H41" s="33"/>
      <c r="I41" s="33"/>
      <c r="J41" s="33"/>
      <c r="K41" s="33"/>
    </row>
    <row r="42" spans="1:11" ht="16.5">
      <c r="A42" s="8"/>
      <c r="B42" s="24"/>
      <c r="C42" s="25"/>
      <c r="D42" s="26"/>
      <c r="E42" s="32"/>
      <c r="F42" s="32"/>
      <c r="G42" s="32"/>
      <c r="H42" s="32"/>
      <c r="I42" s="32"/>
      <c r="J42" s="32"/>
      <c r="K42" s="32"/>
    </row>
    <row r="43" spans="1:11">
      <c r="B43" s="14"/>
      <c r="C43" s="15"/>
      <c r="D43" s="16"/>
    </row>
    <row r="44" spans="1:11">
      <c r="B44" s="14"/>
      <c r="C44" s="15"/>
      <c r="D44" s="16"/>
    </row>
    <row r="45" spans="1:11">
      <c r="B45" s="14"/>
      <c r="C45" s="15"/>
      <c r="D45" s="16"/>
    </row>
    <row r="46" spans="1:11">
      <c r="B46" s="14"/>
      <c r="C46" s="15"/>
      <c r="D46" s="16"/>
    </row>
    <row r="47" spans="1:11">
      <c r="B47" s="14"/>
      <c r="C47" s="15"/>
      <c r="D47" s="16"/>
    </row>
    <row r="48" spans="1:11">
      <c r="B48" s="14"/>
      <c r="C48" s="15"/>
      <c r="D48" s="16"/>
    </row>
    <row r="49" spans="2:4">
      <c r="B49" s="14"/>
      <c r="C49" s="15"/>
      <c r="D49" s="16"/>
    </row>
    <row r="50" spans="2:4">
      <c r="B50" s="14"/>
      <c r="C50" s="15"/>
      <c r="D50" s="16"/>
    </row>
    <row r="51" spans="2:4">
      <c r="B51" s="14"/>
      <c r="C51" s="15"/>
      <c r="D51" s="16"/>
    </row>
    <row r="52" spans="2:4">
      <c r="B52" s="14"/>
      <c r="C52" s="15"/>
      <c r="D52" s="16"/>
    </row>
    <row r="53" spans="2:4">
      <c r="B53" s="14"/>
      <c r="C53" s="15"/>
      <c r="D53" s="16"/>
    </row>
    <row r="54" spans="2:4">
      <c r="B54" s="14"/>
      <c r="C54" s="15"/>
      <c r="D54" s="16"/>
    </row>
    <row r="55" spans="2:4">
      <c r="B55" s="14"/>
      <c r="C55" s="15"/>
      <c r="D55" s="16"/>
    </row>
    <row r="56" spans="2:4">
      <c r="B56" s="14"/>
      <c r="C56" s="15"/>
      <c r="D56" s="16"/>
    </row>
    <row r="57" spans="2:4">
      <c r="B57" s="14"/>
      <c r="C57" s="15"/>
      <c r="D57" s="16"/>
    </row>
    <row r="58" spans="2:4">
      <c r="B58" s="14"/>
      <c r="C58" s="15"/>
      <c r="D58" s="16"/>
    </row>
    <row r="59" spans="2:4">
      <c r="B59" s="14"/>
      <c r="C59" s="15"/>
      <c r="D59" s="16"/>
    </row>
    <row r="60" spans="2:4">
      <c r="B60" s="14"/>
      <c r="C60" s="15"/>
      <c r="D60" s="16"/>
    </row>
    <row r="61" spans="2:4">
      <c r="B61" s="14"/>
      <c r="C61" s="15"/>
      <c r="D61" s="16"/>
    </row>
    <row r="62" spans="2:4">
      <c r="B62" s="14"/>
      <c r="C62" s="15"/>
      <c r="D62" s="16"/>
    </row>
    <row r="63" spans="2:4">
      <c r="B63" s="14"/>
      <c r="C63" s="15"/>
      <c r="D63" s="16"/>
    </row>
    <row r="64" spans="2:4">
      <c r="B64" s="14"/>
      <c r="C64" s="15"/>
      <c r="D64" s="16"/>
    </row>
    <row r="65" spans="2:4">
      <c r="B65" s="14"/>
      <c r="C65" s="15"/>
      <c r="D65" s="16"/>
    </row>
    <row r="66" spans="2:4">
      <c r="B66" s="14"/>
      <c r="C66" s="15"/>
      <c r="D66" s="16"/>
    </row>
    <row r="67" spans="2:4">
      <c r="B67" s="14"/>
      <c r="C67" s="15"/>
      <c r="D67" s="16"/>
    </row>
    <row r="68" spans="2:4">
      <c r="B68" s="14"/>
      <c r="C68" s="15"/>
      <c r="D68" s="16"/>
    </row>
    <row r="69" spans="2:4">
      <c r="B69" s="14"/>
      <c r="C69" s="15"/>
      <c r="D69" s="16"/>
    </row>
    <row r="70" spans="2:4">
      <c r="B70" s="14"/>
      <c r="C70" s="15"/>
      <c r="D70" s="16"/>
    </row>
    <row r="71" spans="2:4">
      <c r="B71" s="14"/>
      <c r="C71" s="15"/>
      <c r="D71" s="16"/>
    </row>
    <row r="72" spans="2:4">
      <c r="B72" s="14"/>
      <c r="C72" s="15"/>
      <c r="D72" s="16"/>
    </row>
    <row r="73" spans="2:4">
      <c r="B73" s="14"/>
      <c r="C73" s="15"/>
      <c r="D73" s="16"/>
    </row>
    <row r="74" spans="2:4">
      <c r="B74" s="14"/>
      <c r="C74" s="15"/>
      <c r="D74" s="16"/>
    </row>
    <row r="75" spans="2:4">
      <c r="B75" s="14"/>
      <c r="C75" s="15"/>
      <c r="D75" s="16"/>
    </row>
    <row r="76" spans="2:4">
      <c r="B76" s="14"/>
      <c r="C76" s="15"/>
      <c r="D76" s="16"/>
    </row>
    <row r="77" spans="2:4">
      <c r="B77" s="14"/>
      <c r="C77" s="15"/>
      <c r="D77" s="16"/>
    </row>
    <row r="78" spans="2:4">
      <c r="B78" s="14"/>
      <c r="C78" s="15"/>
      <c r="D78" s="16"/>
    </row>
  </sheetData>
  <phoneticPr fontId="5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工作表2</vt:lpstr>
      <vt:lpstr>List</vt:lpstr>
      <vt:lpstr>0926紀錄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Winston Yixi</cp:lastModifiedBy>
  <dcterms:created xsi:type="dcterms:W3CDTF">2015-06-05T18:19:34Z</dcterms:created>
  <dcterms:modified xsi:type="dcterms:W3CDTF">2026-09-28T07:30:59Z</dcterms:modified>
</cp:coreProperties>
</file>